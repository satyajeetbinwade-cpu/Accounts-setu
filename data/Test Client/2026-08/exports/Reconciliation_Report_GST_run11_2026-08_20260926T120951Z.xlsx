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Overview" sheetId="1" state="visible" r:id="rId3"/>
    <sheet name="GST Invoices" sheetId="2" state="visible" r:id="rId4"/>
    <sheet name="Credit Notes" sheetId="3" state="visible" r:id="rId5"/>
    <sheet name="Data Quality" sheetId="4" state="visible" r:id="rId6"/>
  </sheets>
  <definedNames>
    <definedName function="false" hidden="false" localSheetId="2" name="_xlnm.Print_Titles" vbProcedure="false">'Credit Notes'!$1:$1</definedName>
    <definedName function="false" hidden="false" localSheetId="3" name="_xlnm.Print_Titles" vbProcedure="false">'Data Quality'!$1:$1</definedName>
    <definedName function="false" hidden="false" localSheetId="1" name="_xlnm.Print_Titles" vbProcedure="false">'GST Invoices'!$1:$1</definedName>
    <definedName function="false" hidden="false" localSheetId="0" name="_xlnm.Print_Titles" vbProcedure="false">Overview!$1:$1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<sst xmlns="http://schemas.openxmlformats.org/spreadsheetml/2006/main" count="518" uniqueCount="224">
  <si>
    <t xml:space="preserve">GST Reconciliation Report</t>
  </si>
  <si>
    <t xml:space="preserve">Test Client · Aug 2026 · Run 11 · GSTIN 07AAACP9472A1ZJ</t>
  </si>
  <si>
    <t xml:space="preserve">Generated 26 Sep 2026 12:09 UTC</t>
  </si>
  <si>
    <t xml:space="preserve">Source files: 082026_07AAACP9472A1ZJ_GSTR2B_15092026 (1).xlsx, PurchaseRegister(Bill-wise) (1).xlsx</t>
  </si>
  <si>
    <t xml:space="preserve">Key figures (live formulas)</t>
  </si>
  <si>
    <t xml:space="preserve">ITC at stake (tax on exceptions)</t>
  </si>
  <si>
    <t xml:space="preserve">§1 headline — tax on every exception bucket, not gross invoice value</t>
  </si>
  <si>
    <t xml:space="preserve">Period ITC (total tax in run)</t>
  </si>
  <si>
    <t xml:space="preserve">ITC at stake % of period ITC</t>
  </si>
  <si>
    <t xml:space="preserve">Invoices</t>
  </si>
  <si>
    <t xml:space="preserve">Matched</t>
  </si>
  <si>
    <t xml:space="preserve">Exceptions</t>
  </si>
  <si>
    <t xml:space="preserve">Not in books</t>
  </si>
  <si>
    <t xml:space="preserve">Not in portal</t>
  </si>
  <si>
    <t xml:space="preserve">Amount difference</t>
  </si>
  <si>
    <t xml:space="preserve">Credit notes</t>
  </si>
  <si>
    <t xml:space="preserve">tracked separately from invoices</t>
  </si>
  <si>
    <t xml:space="preserve">Credit note tax</t>
  </si>
  <si>
    <t xml:space="preserve">not reconciled this run</t>
  </si>
  <si>
    <t xml:space="preserve">Gross invoice value on exceptions (context only)</t>
  </si>
  <si>
    <t xml:space="preserve">Credit-note detail (from the portal file)</t>
  </si>
  <si>
    <t xml:space="preserve">Credit note tax total</t>
  </si>
  <si>
    <t xml:space="preserve">Credit note count</t>
  </si>
  <si>
    <t xml:space="preserve">Data quality &amp; scope notes</t>
  </si>
  <si>
    <t xml:space="preserve">Rounding adjustments on 31 invoice(s)</t>
  </si>
  <si>
    <t xml:space="preserve">31 source rows carry a non-zero rounding/round-off residual. The engine keeps it out of the taxable and tax totals and folds it into the invoice value.</t>
  </si>
  <si>
    <t xml:space="preserve">Rounding residuals are normal in Indian invoices but a persistent pattern can hide a mapping offset.</t>
  </si>
  <si>
    <t xml:space="preserve">No action needed unless the residuals are large or one-sided; if so, check the 'Other Amt.' column mapping.</t>
  </si>
  <si>
    <t xml:space="preserve">TDS is not reconciled in this run</t>
  </si>
  <si>
    <t xml:space="preserve">This run reconciled GST only. No Form 26AS or TDS return was part of it.</t>
  </si>
  <si>
    <t xml:space="preserve">Deduction, deposit and 26AS reflection cannot be checked without those files, so any TDS position is unverified.</t>
  </si>
  <si>
    <t xml:space="preserve">Upload the Form 26AS and TDS source files and run a TDS reconciliation.</t>
  </si>
  <si>
    <t xml:space="preserve">4 record(s) have no books side</t>
  </si>
  <si>
    <t xml:space="preserve">These were seen only on the portal, so no books value could be compared.</t>
  </si>
  <si>
    <t xml:space="preserve">They widen the difference without a counterpart amount to net against.</t>
  </si>
  <si>
    <t xml:space="preserve">Confirm whether they are booked under another ledger or genuinely missing.</t>
  </si>
  <si>
    <t xml:space="preserve">Tax-component comparison (CGST/SGST/IGST/Cess)</t>
  </si>
  <si>
    <t xml:space="preserve">Tax-component comparison (CGST/SGST/IGST/Cess) — not available (cess not mapped), so this check is skipped.</t>
  </si>
  <si>
    <t xml:space="preserve">Without this check the report can only state the limitation, not a conclusion.</t>
  </si>
  <si>
    <t xml:space="preserve">Provide the missing column/file and re-run the reconciliation.</t>
  </si>
  <si>
    <t xml:space="preserve">12 credit note(s) in the portal file were not reconciled</t>
  </si>
  <si>
    <t xml:space="preserve">The portal file carries 12 credit note(s) (B2B-CDNR). No books-side debit/credit-note register was uploaded, and credit-note matching is not part of this reconciliation, so they were left out entirely rather than silently dropped.</t>
  </si>
  <si>
    <t xml:space="preserve">A reconciliation that silently omits a class of documents would overstate its own completeness.</t>
  </si>
  <si>
    <t xml:space="preserve">Upload the missing source (e.g. a books-side credit/debit-note register) and re-run if these documents need to be reconciled.</t>
  </si>
  <si>
    <t xml:space="preserve">IMS action status covers 80 portal document(s)</t>
  </si>
  <si>
    <t xml:space="preserve">IMS statuses on the supplied export: Accepted 41, No Action Taken 27, Pending 12. IMS status is carried through as reference only — it does not drive matching in this build.</t>
  </si>
  <si>
    <t xml:space="preserve">IMS status shows what a supplier has filed and what the recipient has actioned in the portal — useful context, but it does not drive matching in this build.</t>
  </si>
  <si>
    <t xml:space="preserve">No action is required for this reconciliation; review Pending / No Action items directly in the IMS portal if needed.</t>
  </si>
  <si>
    <t xml:space="preserve">Source files used (2)</t>
  </si>
  <si>
    <t xml:space="preserve">082026_07AAACP9472A1ZJ_GSTR2B_15092026 (1).xlsx, PurchaseRegister(Bill-wise) (1).xlsx</t>
  </si>
  <si>
    <t xml:space="preserve">The report reconciles exactly these files for this period and nothing else.</t>
  </si>
  <si>
    <t xml:space="preserve">Replace a file and re-run if the source changed.</t>
  </si>
  <si>
    <t xml:space="preserve">What this report covers</t>
  </si>
  <si>
    <t xml:space="preserve">This reconciles the source files above for this period only.</t>
  </si>
  <si>
    <t xml:space="preserve">It does not perform a statutory filing and does not pull live portal data.</t>
  </si>
  <si>
    <t xml:space="preserve">File the return from your filing workflow once the exceptions are decided.</t>
  </si>
  <si>
    <t xml:space="preserve">Supplier</t>
  </si>
  <si>
    <t xml:space="preserve">GSTIN</t>
  </si>
  <si>
    <t xml:space="preserve">Invoice no.</t>
  </si>
  <si>
    <t xml:space="preserve">Invoice date</t>
  </si>
  <si>
    <t xml:space="preserve">Taxable value</t>
  </si>
  <si>
    <t xml:space="preserve">IGST</t>
  </si>
  <si>
    <t xml:space="preserve">CGST</t>
  </si>
  <si>
    <t xml:space="preserve">SGST</t>
  </si>
  <si>
    <t xml:space="preserve">Cess</t>
  </si>
  <si>
    <t xml:space="preserve">Total tax</t>
  </si>
  <si>
    <t xml:space="preserve">Invoice value</t>
  </si>
  <si>
    <t xml:space="preserve">Classification</t>
  </si>
  <si>
    <t xml:space="preserve">Status</t>
  </si>
  <si>
    <t xml:space="preserve">Difference type</t>
  </si>
  <si>
    <t xml:space="preserve">Confidence</t>
  </si>
  <si>
    <t xml:space="preserve">Match reason</t>
  </si>
  <si>
    <t xml:space="preserve">SURAJ BHAN SUNIL KUMAR &amp;CO.</t>
  </si>
  <si>
    <t xml:space="preserve">07AAXFS9006M1ZC</t>
  </si>
  <si>
    <t xml:space="preserve">T11439</t>
  </si>
  <si>
    <t xml:space="preserve">01 Aug 2026</t>
  </si>
  <si>
    <t xml:space="preserve">Not reviewed</t>
  </si>
  <si>
    <t xml:space="preserve">High — 98%</t>
  </si>
  <si>
    <t xml:space="preserve">Matched on: GSTIN 07AAXFS9006M1ZC, invoice 'T11439' (books) / 'T11439/26-27' (portal); taxable value, CGST, SGST, IGST and cess all agree.</t>
  </si>
  <si>
    <t xml:space="preserve">T11451</t>
  </si>
  <si>
    <t xml:space="preserve">Matched on: GSTIN 07AAXFS9006M1ZC, invoice 'T11451' (books) / 'T11451/26-27' (portal); taxable value, CGST, SGST, IGST and cess all agree.</t>
  </si>
  <si>
    <t xml:space="preserve">ROOP LAXMI SAREES (P) LTD.</t>
  </si>
  <si>
    <t xml:space="preserve">07AACCR8869H1ZU</t>
  </si>
  <si>
    <t xml:space="preserve">2915</t>
  </si>
  <si>
    <t xml:space="preserve">03 Aug 2026</t>
  </si>
  <si>
    <t xml:space="preserve">Matched on: GSTIN 07AACCR8869H1ZU, invoice '2915' (books) / 'RL/2915/26-27' (portal); taxable value, CGST, SGST, IGST and cess all agree. after invoice number variance ('2915' in books, 'RL/2915/26-27' on portal — same numeric core 2915)</t>
  </si>
  <si>
    <t xml:space="preserve">JAGDISH AND SONS INDIA LLP</t>
  </si>
  <si>
    <t xml:space="preserve">07AAMFJ9163F1Z1</t>
  </si>
  <si>
    <t xml:space="preserve">3499</t>
  </si>
  <si>
    <t xml:space="preserve">Matched on: GSTIN 07AAMFJ9163F1Z1, invoice '3499' (books) / 'JSIT-03499/26-27' (portal); taxable value, CGST, SGST, IGST and cess all agree. after invoice number variance ('3499' in books, 'JSIT-03499/26-27' on portal — same numeric core 3499)</t>
  </si>
  <si>
    <t xml:space="preserve">3500</t>
  </si>
  <si>
    <t xml:space="preserve">Matched on: GSTIN 07AAMFJ9163F1Z1, invoice '3500' (books) / 'JSIT-03500/26-27' (portal); taxable value, CGST, SGST, IGST and cess all agree. after invoice number variance ('3500' in books, 'JSIT-03500/26-27' on portal — same numeric core 3500)</t>
  </si>
  <si>
    <t xml:space="preserve">T11579</t>
  </si>
  <si>
    <t xml:space="preserve">Matched on: GSTIN 07AAXFS9006M1ZC, invoice 'T11579' (books) / 'T11579/26-27' (portal); taxable value, CGST, SGST, IGST and cess all agree.</t>
  </si>
  <si>
    <t xml:space="preserve">T12253</t>
  </si>
  <si>
    <t xml:space="preserve">10 Aug 2026</t>
  </si>
  <si>
    <t xml:space="preserve">Matched on: GSTIN 07AAXFS9006M1ZC, invoice 'T12253' (books) / 'T12253/26-27' (portal); taxable value, CGST, SGST, IGST and cess all agree.</t>
  </si>
  <si>
    <t xml:space="preserve">T12408</t>
  </si>
  <si>
    <t xml:space="preserve">11 Aug 2026</t>
  </si>
  <si>
    <t xml:space="preserve">Matched on: GSTIN 07AAXFS9006M1ZC, invoice 'T12408' (books) / 'T12408/26-27' (portal); taxable value, CGST, SGST, IGST and cess all agree.</t>
  </si>
  <si>
    <t xml:space="preserve">T12732</t>
  </si>
  <si>
    <t xml:space="preserve">13 Aug 2026</t>
  </si>
  <si>
    <t xml:space="preserve">Matched on: GSTIN 07AAXFS9006M1ZC, invoice 'T12732' (books) / 'T12732/26-27' (portal); taxable value, CGST, SGST, IGST and cess all agree.</t>
  </si>
  <si>
    <t xml:space="preserve">T13053</t>
  </si>
  <si>
    <t xml:space="preserve">17 Aug 2026</t>
  </si>
  <si>
    <t xml:space="preserve">Matched on: GSTIN 07AAXFS9006M1ZC, invoice 'T13053' (books) / 'T13053/26-27' (portal); taxable value, CGST, SGST, IGST and cess all agree.</t>
  </si>
  <si>
    <t xml:space="preserve">T13093</t>
  </si>
  <si>
    <t xml:space="preserve">Matched on: GSTIN 07AAXFS9006M1ZC, invoice 'T13093' (books) / 'T13093/26-27' (portal); taxable value, CGST, SGST, IGST and cess all agree.</t>
  </si>
  <si>
    <t xml:space="preserve">T13131</t>
  </si>
  <si>
    <t xml:space="preserve">Matched on: GSTIN 07AAXFS9006M1ZC, invoice 'T13131' (books) / 'T13131/26-27' (portal); taxable value, CGST, SGST, IGST and cess all agree.</t>
  </si>
  <si>
    <t xml:space="preserve">T13502</t>
  </si>
  <si>
    <t xml:space="preserve">19 Aug 2026</t>
  </si>
  <si>
    <t xml:space="preserve">Matched on: GSTIN 07AAXFS9006M1ZC, invoice 'T13502' (books) / 'T13502/26-27' (portal); taxable value, CGST, SGST, IGST and cess all agree.</t>
  </si>
  <si>
    <t xml:space="preserve">MONA FASHION</t>
  </si>
  <si>
    <t xml:space="preserve">07APLPT8045C1ZN</t>
  </si>
  <si>
    <t xml:space="preserve">1913</t>
  </si>
  <si>
    <t xml:space="preserve">21 Aug 2026</t>
  </si>
  <si>
    <t xml:space="preserve">Matched on: GSTIN 07APLPT8045C1ZN, invoice '1913' (books) / 'MF/26-27/1913' (portal); taxable value, CGST, SGST, IGST and cess all agree. after invoice number variance ('1913' in books, 'MF/26-27/1913' on portal — same numeric core 1913)</t>
  </si>
  <si>
    <t xml:space="preserve">POOJA DESIGNERS PVT. LTD.</t>
  </si>
  <si>
    <t xml:space="preserve">07AAGCP9332D1ZG</t>
  </si>
  <si>
    <t xml:space="preserve">3386</t>
  </si>
  <si>
    <t xml:space="preserve">22 Aug 2026</t>
  </si>
  <si>
    <t xml:space="preserve">Matched on: GSTIN 07AAGCP9332D1ZG, invoice '3386' (books) / 'PD/26-27/3386' (portal); taxable value, CGST, SGST, IGST and cess all agree. after invoice number variance ('3386' in books, 'PD/26-27/3386' on portal — same numeric core 3386)</t>
  </si>
  <si>
    <t xml:space="preserve">3524</t>
  </si>
  <si>
    <t xml:space="preserve">Matched on: GSTIN 07AACCR8869H1ZU, invoice '3524' (books) / 'RL/3524/26-27' (portal); taxable value, CGST, SGST, IGST and cess all agree. after invoice number variance ('3524' in books, 'RL/3524/26-27' on portal — same numeric core 3524)</t>
  </si>
  <si>
    <t xml:space="preserve">T13985</t>
  </si>
  <si>
    <t xml:space="preserve">Matched on: GSTIN 07AAXFS9006M1ZC, invoice 'T13985' (books) / 'T13985/26-27' (portal); taxable value, CGST, SGST, IGST and cess all agree.</t>
  </si>
  <si>
    <t xml:space="preserve">T14127</t>
  </si>
  <si>
    <t xml:space="preserve">Matched on: GSTIN 07AAXFS9006M1ZC, invoice 'T14127' (books) / 'T14127/26-27' (portal); taxable value, CGST, SGST, IGST and cess all agree.</t>
  </si>
  <si>
    <t xml:space="preserve">4284</t>
  </si>
  <si>
    <t xml:space="preserve">24 Aug 2026</t>
  </si>
  <si>
    <t xml:space="preserve">Matched on: GSTIN 07AAMFJ9163F1Z1, invoice '4284' (books) / 'JSIT-04284/26-27' (portal); taxable value, CGST, SGST, IGST and cess all agree. after invoice number variance ('4284' in books, 'JSIT-04284/26-27' on portal — same numeric core 4284)</t>
  </si>
  <si>
    <t xml:space="preserve">SWAASTIK TRADING COMPANY</t>
  </si>
  <si>
    <t xml:space="preserve">24DCNPB1786A1ZX</t>
  </si>
  <si>
    <t xml:space="preserve">7953</t>
  </si>
  <si>
    <t xml:space="preserve">Matched on: GSTIN 24DCNPB1786A1ZX, invoice 7953; taxable value, CGST, SGST, IGST and cess all agree.</t>
  </si>
  <si>
    <t xml:space="preserve">7955</t>
  </si>
  <si>
    <t xml:space="preserve">Matched on: GSTIN 24DCNPB1786A1ZX, invoice 7955; taxable value, CGST, SGST, IGST and cess all agree.</t>
  </si>
  <si>
    <t xml:space="preserve">T14305</t>
  </si>
  <si>
    <t xml:space="preserve">Matched on: GSTIN 07AAXFS9006M1ZC, invoice 'T14305' (books) / 'T14305/26-27' (portal); taxable value, CGST, SGST, IGST and cess all agree.</t>
  </si>
  <si>
    <t xml:space="preserve">T14374</t>
  </si>
  <si>
    <t xml:space="preserve">Matched on: GSTIN 07AAXFS9006M1ZC, invoice 'T14374' (books) / 'T14374/26-27' (portal); taxable value, CGST, SGST, IGST and cess all agree.</t>
  </si>
  <si>
    <t xml:space="preserve">T14445</t>
  </si>
  <si>
    <t xml:space="preserve">25 Aug 2026</t>
  </si>
  <si>
    <t xml:space="preserve">Matched on: GSTIN 07AAXFS9006M1ZC, invoice 'T14445' (books) / 'T14445/26-27' (portal); taxable value, CGST, SGST, IGST and cess all agree.</t>
  </si>
  <si>
    <t xml:space="preserve">PUSHPANJALI FASHION</t>
  </si>
  <si>
    <t xml:space="preserve">07APRPG2889P1ZV</t>
  </si>
  <si>
    <t xml:space="preserve">65</t>
  </si>
  <si>
    <t xml:space="preserve">26 Aug 2026</t>
  </si>
  <si>
    <t xml:space="preserve">Matched on: GSTIN 07APRPG2889P1ZV, invoice 65; taxable value, CGST, SGST, IGST and cess all agree.</t>
  </si>
  <si>
    <t xml:space="preserve">T14781</t>
  </si>
  <si>
    <t xml:space="preserve">27 Aug 2026</t>
  </si>
  <si>
    <t xml:space="preserve">Matched on: GSTIN 07AAXFS9006M1ZC, invoice 'T14781' (books) / 'T14781/26-27' (portal); taxable value, CGST, SGST, IGST and cess all agree.</t>
  </si>
  <si>
    <t xml:space="preserve">4507</t>
  </si>
  <si>
    <t xml:space="preserve">29 Aug 2026</t>
  </si>
  <si>
    <t xml:space="preserve">Matched on: GSTIN 07AAMFJ9163F1Z1, invoice '4507' (books) / 'JSIT-04507/26-27' (portal); taxable value, CGST, SGST, IGST and cess all agree. after invoice number variance ('4507' in books, 'JSIT-04507/26-27' on portal — same numeric core 4507)</t>
  </si>
  <si>
    <t xml:space="preserve">T15042</t>
  </si>
  <si>
    <t xml:space="preserve">Matched on: GSTIN 07AAXFS9006M1ZC, invoice 'T15042' (books) / 'T15042/26-27' (portal); taxable value, CGST, SGST, IGST and cess all agree.</t>
  </si>
  <si>
    <t xml:space="preserve">T15076</t>
  </si>
  <si>
    <t xml:space="preserve">Matched on: GSTIN 07AAXFS9006M1ZC, invoice 'T15076' (books) / 'T15076/26-27' (portal); taxable value, CGST, SGST, IGST and cess all agree.</t>
  </si>
  <si>
    <t xml:space="preserve">T15093</t>
  </si>
  <si>
    <t xml:space="preserve">Matched on: GSTIN 07AAXFS9006M1ZC, invoice 'T15093' (books) / 'T15093/26-27' (portal); taxable value, CGST, SGST, IGST and cess all agree.</t>
  </si>
  <si>
    <t xml:space="preserve">T15145</t>
  </si>
  <si>
    <t xml:space="preserve">31 Aug 2026</t>
  </si>
  <si>
    <t xml:space="preserve">Matched on: GSTIN 07AAXFS9006M1ZC, invoice 'T15145' (books) / 'T15145/26-27' (portal); taxable value, CGST, SGST, IGST and cess all agree.</t>
  </si>
  <si>
    <t xml:space="preserve">T15157</t>
  </si>
  <si>
    <t xml:space="preserve">Matched on: GSTIN 07AAXFS9006M1ZC, invoice 'T15157' (books) / 'T15157/26-27' (portal); taxable value, CGST, SGST, IGST and cess all agree.</t>
  </si>
  <si>
    <t xml:space="preserve">T15158</t>
  </si>
  <si>
    <t xml:space="preserve">Matched on: GSTIN 07AAXFS9006M1ZC, invoice 'T15158' (books) / 'T15158/26-27' (portal); taxable value, CGST, SGST, IGST and cess all agree.</t>
  </si>
  <si>
    <t xml:space="preserve">T15176</t>
  </si>
  <si>
    <t xml:space="preserve">Matched on: GSTIN 07AAXFS9006M1ZC, invoice 'T15176' (books) / 'T15176/26-27' (portal); taxable value, CGST, SGST, IGST and cess all agree.</t>
  </si>
  <si>
    <t xml:space="preserve">T15254</t>
  </si>
  <si>
    <t xml:space="preserve">Matched on: GSTIN 07AAXFS9006M1ZC, invoice 'T15254' (books) / 'T15254/26-27' (portal); taxable value, CGST, SGST, IGST and cess all agree.</t>
  </si>
  <si>
    <t xml:space="preserve">Bharti Airtel Limited</t>
  </si>
  <si>
    <t xml:space="preserve">07AAACB2894G1ZP</t>
  </si>
  <si>
    <t xml:space="preserve">HF2707I005456843</t>
  </si>
  <si>
    <t xml:space="preserve">06 Aug 2026</t>
  </si>
  <si>
    <t xml:space="preserve">Not in Books</t>
  </si>
  <si>
    <t xml:space="preserve">Reviewed</t>
  </si>
  <si>
    <t xml:space="preserve">Low — 0%</t>
  </si>
  <si>
    <t xml:space="preserve">Not in Books: GSTIN 07AAACB2894G1ZP, invoice HF2707I005456843, ₹706.82 — no matching book entry found across any pass.</t>
  </si>
  <si>
    <t xml:space="preserve">central bank of india</t>
  </si>
  <si>
    <t xml:space="preserve">07AAACC2498P1Z5</t>
  </si>
  <si>
    <t xml:space="preserve">27071C0000155202</t>
  </si>
  <si>
    <t xml:space="preserve">Not in Books: GSTIN 07AAACC2498P1Z5, invoice 27071C0000155202, ₹23.60 — no matching book entry found across any pass.</t>
  </si>
  <si>
    <t xml:space="preserve">ICICI BANK LIMITED</t>
  </si>
  <si>
    <t xml:space="preserve">27AAACI1195H3ZK</t>
  </si>
  <si>
    <t xml:space="preserve">7406PC6080067461</t>
  </si>
  <si>
    <t xml:space="preserve">Not in Books: GSTIN 27AAACI1195H3ZK, invoice 7406PC6080067461, ₹226.84 — no matching book entry found across any pass.</t>
  </si>
  <si>
    <t xml:space="preserve">Jelux Solutions</t>
  </si>
  <si>
    <t xml:space="preserve">06AAVFJ3532D1ZD</t>
  </si>
  <si>
    <t xml:space="preserve">27</t>
  </si>
  <si>
    <t xml:space="preserve">Not in Books: GSTIN 06AAVFJ3532D1ZD, invoice 27, ₹11,800.00 — no matching book entry found across any pass.</t>
  </si>
  <si>
    <t xml:space="preserve">Note no.</t>
  </si>
  <si>
    <t xml:space="preserve">Note type</t>
  </si>
  <si>
    <t xml:space="preserve">Note date</t>
  </si>
  <si>
    <t xml:space="preserve">Note value</t>
  </si>
  <si>
    <t xml:space="preserve">ITC availability</t>
  </si>
  <si>
    <t xml:space="preserve">Reverse charge</t>
  </si>
  <si>
    <t xml:space="preserve">ROOPLAXMI SAREES PRIVATE LIMITED</t>
  </si>
  <si>
    <t xml:space="preserve">CDN/465/26-27</t>
  </si>
  <si>
    <t xml:space="preserve">Credit Note</t>
  </si>
  <si>
    <t xml:space="preserve">16 Aug 2026</t>
  </si>
  <si>
    <t xml:space="preserve">Yes</t>
  </si>
  <si>
    <t xml:space="preserve">No</t>
  </si>
  <si>
    <t xml:space="preserve">CDN/501/26-27</t>
  </si>
  <si>
    <t xml:space="preserve">CN/1026/26-27</t>
  </si>
  <si>
    <t xml:space="preserve">08 Aug 2026</t>
  </si>
  <si>
    <t xml:space="preserve">CN/1077/26-27</t>
  </si>
  <si>
    <t xml:space="preserve">CN/1160/26-27</t>
  </si>
  <si>
    <t xml:space="preserve">Suraj Bhan Sunil Kumar And Co</t>
  </si>
  <si>
    <t xml:space="preserve">CD-248/08-2026</t>
  </si>
  <si>
    <t xml:space="preserve">CD-400/08-2026</t>
  </si>
  <si>
    <t xml:space="preserve">SRI-2538/26-27</t>
  </si>
  <si>
    <t xml:space="preserve">SRI-2703/26-27</t>
  </si>
  <si>
    <t xml:space="preserve">PUSHPANJALI FASHIONS</t>
  </si>
  <si>
    <t xml:space="preserve">14</t>
  </si>
  <si>
    <t xml:space="preserve">JSISC26-27-01210</t>
  </si>
  <si>
    <t xml:space="preserve">JSSC-00557/26-27</t>
  </si>
  <si>
    <t xml:space="preserve">20 Aug 2026</t>
  </si>
  <si>
    <t xml:space="preserve">Note</t>
  </si>
  <si>
    <t xml:space="preserve">What</t>
  </si>
  <si>
    <t xml:space="preserve">Why it matters</t>
  </si>
  <si>
    <t xml:space="preserve">How to fix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</si>
</sst>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₹#,##0.00"/>
    <numFmt numFmtId="166" formatCode="0.00%"/>
    <numFmt numFmtId="167" formatCode="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  <font>
      <sz val="9"/>
      <color rgb="FF6B72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4F4EA"/>
        <bgColor rgb="FFE7E9EC"/>
      </patternFill>
    </fill>
    <fill>
      <patternFill patternType="solid">
        <fgColor rgb="FFFDEBEA"/>
        <bgColor rgb="FFE7E9E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7E9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DEBEA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4F4E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9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4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0" t="s">
        <v>5</v>
      </c>
      <c r="B7" s="3" t="n">
        <f aca="false">SUMIF('GST Invoices'!$L$2:$L$100000,"&lt;&gt;Matched",'GST Invoices'!$J$2:$J$100000)</f>
        <v>1946.02</v>
      </c>
      <c r="C7" s="4" t="s">
        <v>6</v>
      </c>
    </row>
    <row r="8" customFormat="false" ht="15" hidden="false" customHeight="false" outlineLevel="0" collapsed="false">
      <c r="A8" s="0" t="s">
        <v>7</v>
      </c>
      <c r="B8" s="3" t="n">
        <f aca="false">SUM('GST Invoices'!$J$2:$J$100000)</f>
        <v>100459.48</v>
      </c>
    </row>
    <row r="9" customFormat="false" ht="15" hidden="false" customHeight="false" outlineLevel="0" collapsed="false">
      <c r="A9" s="0" t="s">
        <v>8</v>
      </c>
      <c r="B9" s="5" t="n">
        <f aca="false">IFERROR(B7/B8,0)</f>
        <v>0.0193711932412949</v>
      </c>
    </row>
    <row r="10" customFormat="false" ht="15" hidden="false" customHeight="false" outlineLevel="0" collapsed="false">
      <c r="A10" s="0" t="s">
        <v>9</v>
      </c>
      <c r="B10" s="6" t="n">
        <f aca="false">COUNTA('GST Invoices'!$A$2:$A$100000)</f>
        <v>39</v>
      </c>
    </row>
    <row r="11" customFormat="false" ht="15" hidden="false" customHeight="false" outlineLevel="0" collapsed="false">
      <c r="A11" s="0" t="s">
        <v>10</v>
      </c>
      <c r="B11" s="6" t="n">
        <f aca="false">COUNTIF('GST Invoices'!$L$2:$L$100000,"Matched")</f>
        <v>35</v>
      </c>
    </row>
    <row r="12" customFormat="false" ht="15" hidden="false" customHeight="false" outlineLevel="0" collapsed="false">
      <c r="A12" s="0" t="s">
        <v>11</v>
      </c>
      <c r="B12" s="6" t="n">
        <f aca="false">COUNTA('GST Invoices'!$A$2:$A$100000)-COUNTIF('GST Invoices'!$L$2:$L$100000,"Matched")</f>
        <v>4</v>
      </c>
    </row>
    <row r="13" customFormat="false" ht="15" hidden="false" customHeight="false" outlineLevel="0" collapsed="false">
      <c r="A13" s="0" t="s">
        <v>12</v>
      </c>
      <c r="B13" s="6" t="n">
        <f aca="false">COUNTIF('GST Invoices'!$L$2:$L$100000,"Not in Books")</f>
        <v>4</v>
      </c>
    </row>
    <row r="14" customFormat="false" ht="15" hidden="false" customHeight="false" outlineLevel="0" collapsed="false">
      <c r="A14" s="0" t="s">
        <v>13</v>
      </c>
      <c r="B14" s="6" t="n">
        <f aca="false">COUNTIF('GST Invoices'!$L$2:$L$100000,"Not in Portal")</f>
        <v>0</v>
      </c>
    </row>
    <row r="15" customFormat="false" ht="15" hidden="false" customHeight="false" outlineLevel="0" collapsed="false">
      <c r="A15" s="0" t="s">
        <v>14</v>
      </c>
      <c r="B15" s="6" t="n">
        <f aca="false">COUNTIF('GST Invoices'!$L$2:$L$100000,"Amount Difference")</f>
        <v>0</v>
      </c>
    </row>
    <row r="16" customFormat="false" ht="15" hidden="false" customHeight="false" outlineLevel="0" collapsed="false">
      <c r="A16" s="0" t="s">
        <v>15</v>
      </c>
      <c r="B16" s="6" t="n">
        <f aca="false">COUNTA('Credit Notes'!$A$2:$A$100000)</f>
        <v>12</v>
      </c>
      <c r="C16" s="4" t="s">
        <v>16</v>
      </c>
    </row>
    <row r="17" customFormat="false" ht="15" hidden="false" customHeight="false" outlineLevel="0" collapsed="false">
      <c r="A17" s="0" t="s">
        <v>17</v>
      </c>
      <c r="B17" s="3" t="n">
        <f aca="false">SUM('Credit Notes'!$K$2:$K$100000)</f>
        <v>9840.72</v>
      </c>
      <c r="C17" s="4" t="s">
        <v>18</v>
      </c>
    </row>
    <row r="18" customFormat="false" ht="15" hidden="false" customHeight="false" outlineLevel="0" collapsed="false">
      <c r="A18" s="0" t="s">
        <v>19</v>
      </c>
      <c r="B18" s="3" t="n">
        <f aca="false">SUMIF('GST Invoices'!$L$2:$L$100000,"&lt;&gt;Matched",'GST Invoices'!$K$2:$K$100000)</f>
        <v>12757.26</v>
      </c>
    </row>
    <row r="20" customFormat="false" ht="15" hidden="false" customHeight="false" outlineLevel="0" collapsed="false">
      <c r="A20" s="2" t="s">
        <v>20</v>
      </c>
    </row>
    <row r="21" customFormat="false" ht="15" hidden="false" customHeight="false" outlineLevel="0" collapsed="false">
      <c r="A21" s="0" t="s">
        <v>21</v>
      </c>
      <c r="B21" s="3" t="n">
        <f aca="false">SUM('Credit Notes'!$K$2:$K$100000)</f>
        <v>9840.72</v>
      </c>
    </row>
    <row r="22" customFormat="false" ht="15" hidden="false" customHeight="false" outlineLevel="0" collapsed="false">
      <c r="A22" s="0" t="s">
        <v>22</v>
      </c>
      <c r="B22" s="6" t="n">
        <f aca="false">COUNTA('Credit Notes'!$A$2:$A$100000)</f>
        <v>12</v>
      </c>
    </row>
    <row r="24" customFormat="false" ht="15" hidden="false" customHeight="false" outlineLevel="0" collapsed="false">
      <c r="A24" s="2" t="s">
        <v>23</v>
      </c>
    </row>
    <row r="25" customFormat="false" ht="15" hidden="false" customHeight="false" outlineLevel="0" collapsed="false">
      <c r="A25" s="2" t="s">
        <v>24</v>
      </c>
    </row>
    <row r="26" customFormat="false" ht="46.25" hidden="false" customHeight="false" outlineLevel="0" collapsed="false">
      <c r="A26" s="7" t="s">
        <v>25</v>
      </c>
    </row>
    <row r="27" customFormat="false" ht="31.3" hidden="false" customHeight="false" outlineLevel="0" collapsed="false">
      <c r="A27" s="7" t="s">
        <v>26</v>
      </c>
    </row>
    <row r="28" customFormat="false" ht="46.25" hidden="false" customHeight="false" outlineLevel="0" collapsed="false">
      <c r="A28" s="7" t="s">
        <v>27</v>
      </c>
    </row>
    <row r="29" customFormat="false" ht="15" hidden="false" customHeight="false" outlineLevel="0" collapsed="false">
      <c r="A29" s="2" t="s">
        <v>28</v>
      </c>
    </row>
    <row r="30" customFormat="false" ht="31.3" hidden="false" customHeight="false" outlineLevel="0" collapsed="false">
      <c r="A30" s="7" t="s">
        <v>29</v>
      </c>
    </row>
    <row r="31" customFormat="false" ht="46.25" hidden="false" customHeight="false" outlineLevel="0" collapsed="false">
      <c r="A31" s="7" t="s">
        <v>30</v>
      </c>
    </row>
    <row r="32" customFormat="false" ht="31.3" hidden="false" customHeight="false" outlineLevel="0" collapsed="false">
      <c r="A32" s="7" t="s">
        <v>31</v>
      </c>
    </row>
    <row r="33" customFormat="false" ht="15" hidden="false" customHeight="false" outlineLevel="0" collapsed="false">
      <c r="A33" s="2" t="s">
        <v>32</v>
      </c>
    </row>
    <row r="34" customFormat="false" ht="31.3" hidden="false" customHeight="false" outlineLevel="0" collapsed="false">
      <c r="A34" s="7" t="s">
        <v>33</v>
      </c>
    </row>
    <row r="35" customFormat="false" ht="31.3" hidden="false" customHeight="false" outlineLevel="0" collapsed="false">
      <c r="A35" s="7" t="s">
        <v>34</v>
      </c>
    </row>
    <row r="36" customFormat="false" ht="31.3" hidden="false" customHeight="false" outlineLevel="0" collapsed="false">
      <c r="A36" s="7" t="s">
        <v>35</v>
      </c>
    </row>
    <row r="37" customFormat="false" ht="15" hidden="false" customHeight="false" outlineLevel="0" collapsed="false">
      <c r="A37" s="2" t="s">
        <v>36</v>
      </c>
    </row>
    <row r="38" customFormat="false" ht="46.25" hidden="false" customHeight="false" outlineLevel="0" collapsed="false">
      <c r="A38" s="7" t="s">
        <v>37</v>
      </c>
    </row>
    <row r="39" customFormat="false" ht="31.3" hidden="false" customHeight="false" outlineLevel="0" collapsed="false">
      <c r="A39" s="7" t="s">
        <v>38</v>
      </c>
    </row>
    <row r="40" customFormat="false" ht="31.3" hidden="false" customHeight="false" outlineLevel="0" collapsed="false">
      <c r="A40" s="7" t="s">
        <v>39</v>
      </c>
    </row>
    <row r="41" customFormat="false" ht="15" hidden="false" customHeight="false" outlineLevel="0" collapsed="false">
      <c r="A41" s="2" t="s">
        <v>40</v>
      </c>
    </row>
    <row r="42" customFormat="false" ht="76.1" hidden="false" customHeight="false" outlineLevel="0" collapsed="false">
      <c r="A42" s="7" t="s">
        <v>41</v>
      </c>
    </row>
    <row r="43" customFormat="false" ht="31.3" hidden="false" customHeight="false" outlineLevel="0" collapsed="false">
      <c r="A43" s="7" t="s">
        <v>42</v>
      </c>
    </row>
    <row r="44" customFormat="false" ht="46.25" hidden="false" customHeight="false" outlineLevel="0" collapsed="false">
      <c r="A44" s="7" t="s">
        <v>43</v>
      </c>
    </row>
    <row r="45" customFormat="false" ht="15" hidden="false" customHeight="false" outlineLevel="0" collapsed="false">
      <c r="A45" s="2" t="s">
        <v>44</v>
      </c>
    </row>
    <row r="46" customFormat="false" ht="61.15" hidden="false" customHeight="false" outlineLevel="0" collapsed="false">
      <c r="A46" s="7" t="s">
        <v>45</v>
      </c>
    </row>
    <row r="47" customFormat="false" ht="46.25" hidden="false" customHeight="false" outlineLevel="0" collapsed="false">
      <c r="A47" s="7" t="s">
        <v>46</v>
      </c>
    </row>
    <row r="48" customFormat="false" ht="46.25" hidden="false" customHeight="false" outlineLevel="0" collapsed="false">
      <c r="A48" s="7" t="s">
        <v>47</v>
      </c>
    </row>
    <row r="49" customFormat="false" ht="15" hidden="false" customHeight="false" outlineLevel="0" collapsed="false">
      <c r="A49" s="2" t="s">
        <v>48</v>
      </c>
    </row>
    <row r="50" customFormat="false" ht="31.3" hidden="false" customHeight="false" outlineLevel="0" collapsed="false">
      <c r="A50" s="7" t="s">
        <v>49</v>
      </c>
    </row>
    <row r="51" customFormat="false" ht="31.3" hidden="false" customHeight="false" outlineLevel="0" collapsed="false">
      <c r="A51" s="7" t="s">
        <v>50</v>
      </c>
    </row>
    <row r="52" customFormat="false" ht="16.4" hidden="false" customHeight="false" outlineLevel="0" collapsed="false">
      <c r="A52" s="7" t="s">
        <v>51</v>
      </c>
    </row>
    <row r="53" customFormat="false" ht="15" hidden="false" customHeight="false" outlineLevel="0" collapsed="false">
      <c r="A53" s="2" t="s">
        <v>52</v>
      </c>
    </row>
    <row r="54" customFormat="false" ht="31.3" hidden="false" customHeight="false" outlineLevel="0" collapsed="false">
      <c r="A54" s="7" t="s">
        <v>53</v>
      </c>
    </row>
    <row r="55" customFormat="false" ht="31.3" hidden="false" customHeight="false" outlineLevel="0" collapsed="false">
      <c r="A55" s="7" t="s">
        <v>54</v>
      </c>
    </row>
    <row r="56" customFormat="false" ht="31.3" hidden="false" customHeight="false" outlineLevel="0" collapsed="false">
      <c r="A56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5" min="2" style="0" width="18"/>
    <col collapsed="false" customWidth="true" hidden="false" outlineLevel="0" max="16" min="16" style="0" width="30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58</v>
      </c>
      <c r="D1" s="8" t="s">
        <v>59</v>
      </c>
      <c r="E1" s="8" t="s">
        <v>60</v>
      </c>
      <c r="F1" s="8" t="s">
        <v>61</v>
      </c>
      <c r="G1" s="8" t="s">
        <v>62</v>
      </c>
      <c r="H1" s="8" t="s">
        <v>63</v>
      </c>
      <c r="I1" s="8" t="s">
        <v>64</v>
      </c>
      <c r="J1" s="8" t="s">
        <v>65</v>
      </c>
      <c r="K1" s="8" t="s">
        <v>66</v>
      </c>
      <c r="L1" s="8" t="s">
        <v>67</v>
      </c>
      <c r="M1" s="8" t="s">
        <v>68</v>
      </c>
      <c r="N1" s="8" t="s">
        <v>69</v>
      </c>
      <c r="O1" s="8" t="s">
        <v>70</v>
      </c>
      <c r="P1" s="8" t="s">
        <v>71</v>
      </c>
    </row>
    <row r="2" customFormat="false" ht="76.1" hidden="false" customHeight="false" outlineLevel="0" collapsed="false">
      <c r="A2" s="9" t="s">
        <v>72</v>
      </c>
      <c r="B2" s="9" t="s">
        <v>73</v>
      </c>
      <c r="C2" s="9" t="s">
        <v>74</v>
      </c>
      <c r="D2" s="9" t="s">
        <v>75</v>
      </c>
      <c r="E2" s="10" t="n">
        <v>16460</v>
      </c>
      <c r="F2" s="10" t="n">
        <v>0</v>
      </c>
      <c r="G2" s="10" t="n">
        <v>1481.4</v>
      </c>
      <c r="H2" s="10" t="n">
        <v>1481.4</v>
      </c>
      <c r="I2" s="10" t="n">
        <v>0</v>
      </c>
      <c r="J2" s="10" t="n">
        <v>2962.8</v>
      </c>
      <c r="K2" s="10" t="n">
        <v>19423</v>
      </c>
      <c r="L2" s="9" t="s">
        <v>10</v>
      </c>
      <c r="M2" s="9" t="s">
        <v>76</v>
      </c>
      <c r="N2" s="9"/>
      <c r="O2" s="9" t="s">
        <v>77</v>
      </c>
      <c r="P2" s="11" t="s">
        <v>78</v>
      </c>
    </row>
    <row r="3" customFormat="false" ht="76.1" hidden="false" customHeight="false" outlineLevel="0" collapsed="false">
      <c r="A3" s="9" t="s">
        <v>72</v>
      </c>
      <c r="B3" s="9" t="s">
        <v>73</v>
      </c>
      <c r="C3" s="9" t="s">
        <v>79</v>
      </c>
      <c r="D3" s="9" t="s">
        <v>75</v>
      </c>
      <c r="E3" s="10" t="n">
        <v>22530</v>
      </c>
      <c r="F3" s="10" t="n">
        <v>0</v>
      </c>
      <c r="G3" s="10" t="n">
        <v>2027.7</v>
      </c>
      <c r="H3" s="10" t="n">
        <v>2027.7</v>
      </c>
      <c r="I3" s="10" t="n">
        <v>0</v>
      </c>
      <c r="J3" s="10" t="n">
        <v>4055.4</v>
      </c>
      <c r="K3" s="10" t="n">
        <v>26585</v>
      </c>
      <c r="L3" s="9" t="s">
        <v>10</v>
      </c>
      <c r="M3" s="9" t="s">
        <v>76</v>
      </c>
      <c r="N3" s="9"/>
      <c r="O3" s="9" t="s">
        <v>77</v>
      </c>
      <c r="P3" s="11" t="s">
        <v>80</v>
      </c>
    </row>
    <row r="4" customFormat="false" ht="120.85" hidden="false" customHeight="false" outlineLevel="0" collapsed="false">
      <c r="A4" s="9" t="s">
        <v>81</v>
      </c>
      <c r="B4" s="9" t="s">
        <v>82</v>
      </c>
      <c r="C4" s="9" t="s">
        <v>83</v>
      </c>
      <c r="D4" s="9" t="s">
        <v>84</v>
      </c>
      <c r="E4" s="10" t="n">
        <v>7693</v>
      </c>
      <c r="F4" s="10" t="n">
        <v>0</v>
      </c>
      <c r="G4" s="10" t="n">
        <v>192.32</v>
      </c>
      <c r="H4" s="10" t="n">
        <v>192.32</v>
      </c>
      <c r="I4" s="10" t="n">
        <v>0</v>
      </c>
      <c r="J4" s="10" t="n">
        <v>384.64</v>
      </c>
      <c r="K4" s="10" t="n">
        <v>8078</v>
      </c>
      <c r="L4" s="9" t="s">
        <v>10</v>
      </c>
      <c r="M4" s="9" t="s">
        <v>76</v>
      </c>
      <c r="N4" s="9"/>
      <c r="O4" s="9" t="s">
        <v>77</v>
      </c>
      <c r="P4" s="11" t="s">
        <v>85</v>
      </c>
    </row>
    <row r="5" customFormat="false" ht="135.8" hidden="false" customHeight="false" outlineLevel="0" collapsed="false">
      <c r="A5" s="9" t="s">
        <v>86</v>
      </c>
      <c r="B5" s="9" t="s">
        <v>87</v>
      </c>
      <c r="C5" s="9" t="s">
        <v>88</v>
      </c>
      <c r="D5" s="9" t="s">
        <v>84</v>
      </c>
      <c r="E5" s="10" t="n">
        <v>30475</v>
      </c>
      <c r="F5" s="10" t="n">
        <v>0</v>
      </c>
      <c r="G5" s="10" t="n">
        <v>761.88</v>
      </c>
      <c r="H5" s="10" t="n">
        <v>761.88</v>
      </c>
      <c r="I5" s="10" t="n">
        <v>0</v>
      </c>
      <c r="J5" s="10" t="n">
        <v>1523.76</v>
      </c>
      <c r="K5" s="10" t="n">
        <v>31999</v>
      </c>
      <c r="L5" s="9" t="s">
        <v>10</v>
      </c>
      <c r="M5" s="9" t="s">
        <v>76</v>
      </c>
      <c r="N5" s="9"/>
      <c r="O5" s="9" t="s">
        <v>77</v>
      </c>
      <c r="P5" s="11" t="s">
        <v>89</v>
      </c>
    </row>
    <row r="6" customFormat="false" ht="135.8" hidden="false" customHeight="false" outlineLevel="0" collapsed="false">
      <c r="A6" s="9" t="s">
        <v>86</v>
      </c>
      <c r="B6" s="9" t="s">
        <v>87</v>
      </c>
      <c r="C6" s="9" t="s">
        <v>90</v>
      </c>
      <c r="D6" s="9" t="s">
        <v>84</v>
      </c>
      <c r="E6" s="10" t="n">
        <v>26465</v>
      </c>
      <c r="F6" s="10" t="n">
        <v>0</v>
      </c>
      <c r="G6" s="10" t="n">
        <v>661.63</v>
      </c>
      <c r="H6" s="10" t="n">
        <v>661.63</v>
      </c>
      <c r="I6" s="10" t="n">
        <v>0</v>
      </c>
      <c r="J6" s="10" t="n">
        <v>1323.26</v>
      </c>
      <c r="K6" s="10" t="n">
        <v>27788</v>
      </c>
      <c r="L6" s="9" t="s">
        <v>10</v>
      </c>
      <c r="M6" s="9" t="s">
        <v>76</v>
      </c>
      <c r="N6" s="9"/>
      <c r="O6" s="9" t="s">
        <v>77</v>
      </c>
      <c r="P6" s="11" t="s">
        <v>91</v>
      </c>
    </row>
    <row r="7" customFormat="false" ht="76.1" hidden="false" customHeight="false" outlineLevel="0" collapsed="false">
      <c r="A7" s="9" t="s">
        <v>72</v>
      </c>
      <c r="B7" s="9" t="s">
        <v>73</v>
      </c>
      <c r="C7" s="9" t="s">
        <v>92</v>
      </c>
      <c r="D7" s="9" t="s">
        <v>84</v>
      </c>
      <c r="E7" s="10" t="n">
        <v>25350</v>
      </c>
      <c r="F7" s="10" t="n">
        <v>0</v>
      </c>
      <c r="G7" s="10" t="n">
        <v>2281.5</v>
      </c>
      <c r="H7" s="10" t="n">
        <v>2281.5</v>
      </c>
      <c r="I7" s="10" t="n">
        <v>0</v>
      </c>
      <c r="J7" s="10" t="n">
        <v>4563</v>
      </c>
      <c r="K7" s="10" t="n">
        <v>29913</v>
      </c>
      <c r="L7" s="9" t="s">
        <v>10</v>
      </c>
      <c r="M7" s="9" t="s">
        <v>76</v>
      </c>
      <c r="N7" s="9"/>
      <c r="O7" s="9" t="s">
        <v>77</v>
      </c>
      <c r="P7" s="11" t="s">
        <v>93</v>
      </c>
    </row>
    <row r="8" customFormat="false" ht="76.1" hidden="false" customHeight="false" outlineLevel="0" collapsed="false">
      <c r="A8" s="9" t="s">
        <v>72</v>
      </c>
      <c r="B8" s="9" t="s">
        <v>73</v>
      </c>
      <c r="C8" s="9" t="s">
        <v>94</v>
      </c>
      <c r="D8" s="9" t="s">
        <v>95</v>
      </c>
      <c r="E8" s="10" t="n">
        <v>14510</v>
      </c>
      <c r="F8" s="10" t="n">
        <v>0</v>
      </c>
      <c r="G8" s="10" t="n">
        <v>1305.9</v>
      </c>
      <c r="H8" s="10" t="n">
        <v>1305.9</v>
      </c>
      <c r="I8" s="10" t="n">
        <v>0</v>
      </c>
      <c r="J8" s="10" t="n">
        <v>2611.8</v>
      </c>
      <c r="K8" s="10" t="n">
        <v>17122</v>
      </c>
      <c r="L8" s="9" t="s">
        <v>10</v>
      </c>
      <c r="M8" s="9" t="s">
        <v>76</v>
      </c>
      <c r="N8" s="9"/>
      <c r="O8" s="9" t="s">
        <v>77</v>
      </c>
      <c r="P8" s="11" t="s">
        <v>96</v>
      </c>
    </row>
    <row r="9" customFormat="false" ht="76.1" hidden="false" customHeight="false" outlineLevel="0" collapsed="false">
      <c r="A9" s="9" t="s">
        <v>72</v>
      </c>
      <c r="B9" s="9" t="s">
        <v>73</v>
      </c>
      <c r="C9" s="9" t="s">
        <v>97</v>
      </c>
      <c r="D9" s="9" t="s">
        <v>98</v>
      </c>
      <c r="E9" s="10" t="n">
        <v>44590</v>
      </c>
      <c r="F9" s="10" t="n">
        <v>0</v>
      </c>
      <c r="G9" s="10" t="n">
        <v>4013.1</v>
      </c>
      <c r="H9" s="10" t="n">
        <v>4013.1</v>
      </c>
      <c r="I9" s="10" t="n">
        <v>0</v>
      </c>
      <c r="J9" s="10" t="n">
        <v>8026.2</v>
      </c>
      <c r="K9" s="10" t="n">
        <v>52616</v>
      </c>
      <c r="L9" s="9" t="s">
        <v>10</v>
      </c>
      <c r="M9" s="9" t="s">
        <v>76</v>
      </c>
      <c r="N9" s="9"/>
      <c r="O9" s="9" t="s">
        <v>77</v>
      </c>
      <c r="P9" s="11" t="s">
        <v>99</v>
      </c>
    </row>
    <row r="10" customFormat="false" ht="76.1" hidden="false" customHeight="false" outlineLevel="0" collapsed="false">
      <c r="A10" s="9" t="s">
        <v>72</v>
      </c>
      <c r="B10" s="9" t="s">
        <v>73</v>
      </c>
      <c r="C10" s="9" t="s">
        <v>100</v>
      </c>
      <c r="D10" s="9" t="s">
        <v>101</v>
      </c>
      <c r="E10" s="10" t="n">
        <v>6850</v>
      </c>
      <c r="F10" s="10" t="n">
        <v>0</v>
      </c>
      <c r="G10" s="10" t="n">
        <v>616.5</v>
      </c>
      <c r="H10" s="10" t="n">
        <v>616.5</v>
      </c>
      <c r="I10" s="10" t="n">
        <v>0</v>
      </c>
      <c r="J10" s="10" t="n">
        <v>1233</v>
      </c>
      <c r="K10" s="10" t="n">
        <v>8083</v>
      </c>
      <c r="L10" s="9" t="s">
        <v>10</v>
      </c>
      <c r="M10" s="9" t="s">
        <v>76</v>
      </c>
      <c r="N10" s="9"/>
      <c r="O10" s="9" t="s">
        <v>77</v>
      </c>
      <c r="P10" s="11" t="s">
        <v>102</v>
      </c>
    </row>
    <row r="11" customFormat="false" ht="76.1" hidden="false" customHeight="false" outlineLevel="0" collapsed="false">
      <c r="A11" s="9" t="s">
        <v>72</v>
      </c>
      <c r="B11" s="9" t="s">
        <v>73</v>
      </c>
      <c r="C11" s="9" t="s">
        <v>103</v>
      </c>
      <c r="D11" s="9" t="s">
        <v>104</v>
      </c>
      <c r="E11" s="10" t="n">
        <v>14945</v>
      </c>
      <c r="F11" s="10" t="n">
        <v>0</v>
      </c>
      <c r="G11" s="10" t="n">
        <v>1345.05</v>
      </c>
      <c r="H11" s="10" t="n">
        <v>1345.05</v>
      </c>
      <c r="I11" s="10" t="n">
        <v>0</v>
      </c>
      <c r="J11" s="10" t="n">
        <v>2690.1</v>
      </c>
      <c r="K11" s="10" t="n">
        <v>17635</v>
      </c>
      <c r="L11" s="9" t="s">
        <v>10</v>
      </c>
      <c r="M11" s="9" t="s">
        <v>76</v>
      </c>
      <c r="N11" s="9"/>
      <c r="O11" s="9" t="s">
        <v>77</v>
      </c>
      <c r="P11" s="11" t="s">
        <v>105</v>
      </c>
    </row>
    <row r="12" customFormat="false" ht="76.1" hidden="false" customHeight="false" outlineLevel="0" collapsed="false">
      <c r="A12" s="9" t="s">
        <v>72</v>
      </c>
      <c r="B12" s="9" t="s">
        <v>73</v>
      </c>
      <c r="C12" s="9" t="s">
        <v>106</v>
      </c>
      <c r="D12" s="9" t="s">
        <v>104</v>
      </c>
      <c r="E12" s="10" t="n">
        <v>29545</v>
      </c>
      <c r="F12" s="10" t="n">
        <v>0</v>
      </c>
      <c r="G12" s="10" t="n">
        <v>738.65</v>
      </c>
      <c r="H12" s="10" t="n">
        <v>738.65</v>
      </c>
      <c r="I12" s="10" t="n">
        <v>0</v>
      </c>
      <c r="J12" s="10" t="n">
        <v>1477.3</v>
      </c>
      <c r="K12" s="10" t="n">
        <v>31022</v>
      </c>
      <c r="L12" s="9" t="s">
        <v>10</v>
      </c>
      <c r="M12" s="9" t="s">
        <v>76</v>
      </c>
      <c r="N12" s="9"/>
      <c r="O12" s="9" t="s">
        <v>77</v>
      </c>
      <c r="P12" s="11" t="s">
        <v>107</v>
      </c>
    </row>
    <row r="13" customFormat="false" ht="76.1" hidden="false" customHeight="false" outlineLevel="0" collapsed="false">
      <c r="A13" s="9" t="s">
        <v>72</v>
      </c>
      <c r="B13" s="9" t="s">
        <v>73</v>
      </c>
      <c r="C13" s="9" t="s">
        <v>108</v>
      </c>
      <c r="D13" s="9" t="s">
        <v>104</v>
      </c>
      <c r="E13" s="10" t="n">
        <v>26965</v>
      </c>
      <c r="F13" s="10" t="n">
        <v>0</v>
      </c>
      <c r="G13" s="10" t="n">
        <v>2426.85</v>
      </c>
      <c r="H13" s="10" t="n">
        <v>2426.85</v>
      </c>
      <c r="I13" s="10" t="n">
        <v>0</v>
      </c>
      <c r="J13" s="10" t="n">
        <v>4853.7</v>
      </c>
      <c r="K13" s="10" t="n">
        <v>31819</v>
      </c>
      <c r="L13" s="9" t="s">
        <v>10</v>
      </c>
      <c r="M13" s="9" t="s">
        <v>76</v>
      </c>
      <c r="N13" s="9"/>
      <c r="O13" s="9" t="s">
        <v>77</v>
      </c>
      <c r="P13" s="11" t="s">
        <v>109</v>
      </c>
    </row>
    <row r="14" customFormat="false" ht="76.1" hidden="false" customHeight="false" outlineLevel="0" collapsed="false">
      <c r="A14" s="9" t="s">
        <v>72</v>
      </c>
      <c r="B14" s="9" t="s">
        <v>73</v>
      </c>
      <c r="C14" s="9" t="s">
        <v>110</v>
      </c>
      <c r="D14" s="9" t="s">
        <v>111</v>
      </c>
      <c r="E14" s="10" t="n">
        <v>13990</v>
      </c>
      <c r="F14" s="10" t="n">
        <v>0</v>
      </c>
      <c r="G14" s="10" t="n">
        <v>1259.1</v>
      </c>
      <c r="H14" s="10" t="n">
        <v>1259.1</v>
      </c>
      <c r="I14" s="10" t="n">
        <v>0</v>
      </c>
      <c r="J14" s="10" t="n">
        <v>2518.2</v>
      </c>
      <c r="K14" s="10" t="n">
        <v>16508</v>
      </c>
      <c r="L14" s="9" t="s">
        <v>10</v>
      </c>
      <c r="M14" s="9" t="s">
        <v>76</v>
      </c>
      <c r="N14" s="9"/>
      <c r="O14" s="9" t="s">
        <v>77</v>
      </c>
      <c r="P14" s="11" t="s">
        <v>112</v>
      </c>
    </row>
    <row r="15" customFormat="false" ht="120.85" hidden="false" customHeight="false" outlineLevel="0" collapsed="false">
      <c r="A15" s="9" t="s">
        <v>113</v>
      </c>
      <c r="B15" s="9" t="s">
        <v>114</v>
      </c>
      <c r="C15" s="9" t="s">
        <v>115</v>
      </c>
      <c r="D15" s="9" t="s">
        <v>116</v>
      </c>
      <c r="E15" s="10" t="n">
        <v>25431</v>
      </c>
      <c r="F15" s="10" t="n">
        <v>0</v>
      </c>
      <c r="G15" s="10" t="n">
        <v>635.78</v>
      </c>
      <c r="H15" s="10" t="n">
        <v>635.78</v>
      </c>
      <c r="I15" s="10" t="n">
        <v>0</v>
      </c>
      <c r="J15" s="10" t="n">
        <v>1271.56</v>
      </c>
      <c r="K15" s="10" t="n">
        <v>26703</v>
      </c>
      <c r="L15" s="9" t="s">
        <v>10</v>
      </c>
      <c r="M15" s="9" t="s">
        <v>76</v>
      </c>
      <c r="N15" s="9"/>
      <c r="O15" s="9" t="s">
        <v>77</v>
      </c>
      <c r="P15" s="11" t="s">
        <v>117</v>
      </c>
    </row>
    <row r="16" customFormat="false" ht="135.8" hidden="false" customHeight="false" outlineLevel="0" collapsed="false">
      <c r="A16" s="9" t="s">
        <v>118</v>
      </c>
      <c r="B16" s="9" t="s">
        <v>119</v>
      </c>
      <c r="C16" s="9" t="s">
        <v>120</v>
      </c>
      <c r="D16" s="9" t="s">
        <v>121</v>
      </c>
      <c r="E16" s="10" t="n">
        <v>25748</v>
      </c>
      <c r="F16" s="10" t="n">
        <v>0</v>
      </c>
      <c r="G16" s="10" t="n">
        <v>643.71</v>
      </c>
      <c r="H16" s="10" t="n">
        <v>643.71</v>
      </c>
      <c r="I16" s="10" t="n">
        <v>0</v>
      </c>
      <c r="J16" s="10" t="n">
        <v>1287.42</v>
      </c>
      <c r="K16" s="10" t="n">
        <v>27035</v>
      </c>
      <c r="L16" s="9" t="s">
        <v>10</v>
      </c>
      <c r="M16" s="9" t="s">
        <v>76</v>
      </c>
      <c r="N16" s="9"/>
      <c r="O16" s="9" t="s">
        <v>77</v>
      </c>
      <c r="P16" s="11" t="s">
        <v>122</v>
      </c>
    </row>
    <row r="17" customFormat="false" ht="120.85" hidden="false" customHeight="false" outlineLevel="0" collapsed="false">
      <c r="A17" s="9" t="s">
        <v>81</v>
      </c>
      <c r="B17" s="9" t="s">
        <v>82</v>
      </c>
      <c r="C17" s="9" t="s">
        <v>123</v>
      </c>
      <c r="D17" s="9" t="s">
        <v>121</v>
      </c>
      <c r="E17" s="10" t="n">
        <v>35850</v>
      </c>
      <c r="F17" s="10" t="n">
        <v>0</v>
      </c>
      <c r="G17" s="10" t="n">
        <v>896.3</v>
      </c>
      <c r="H17" s="10" t="n">
        <v>896.3</v>
      </c>
      <c r="I17" s="10" t="n">
        <v>0</v>
      </c>
      <c r="J17" s="10" t="n">
        <v>1792.6</v>
      </c>
      <c r="K17" s="10" t="n">
        <v>37643</v>
      </c>
      <c r="L17" s="9" t="s">
        <v>10</v>
      </c>
      <c r="M17" s="9" t="s">
        <v>76</v>
      </c>
      <c r="N17" s="9"/>
      <c r="O17" s="9" t="s">
        <v>77</v>
      </c>
      <c r="P17" s="11" t="s">
        <v>124</v>
      </c>
    </row>
    <row r="18" customFormat="false" ht="76.1" hidden="false" customHeight="false" outlineLevel="0" collapsed="false">
      <c r="A18" s="9" t="s">
        <v>72</v>
      </c>
      <c r="B18" s="9" t="s">
        <v>73</v>
      </c>
      <c r="C18" s="9" t="s">
        <v>125</v>
      </c>
      <c r="D18" s="9" t="s">
        <v>121</v>
      </c>
      <c r="E18" s="10" t="n">
        <v>23340</v>
      </c>
      <c r="F18" s="10" t="n">
        <v>0</v>
      </c>
      <c r="G18" s="10" t="n">
        <v>2100.6</v>
      </c>
      <c r="H18" s="10" t="n">
        <v>2100.6</v>
      </c>
      <c r="I18" s="10" t="n">
        <v>0</v>
      </c>
      <c r="J18" s="10" t="n">
        <v>4201.2</v>
      </c>
      <c r="K18" s="10" t="n">
        <v>27541</v>
      </c>
      <c r="L18" s="9" t="s">
        <v>10</v>
      </c>
      <c r="M18" s="9" t="s">
        <v>76</v>
      </c>
      <c r="N18" s="9"/>
      <c r="O18" s="9" t="s">
        <v>77</v>
      </c>
      <c r="P18" s="11" t="s">
        <v>126</v>
      </c>
    </row>
    <row r="19" customFormat="false" ht="76.1" hidden="false" customHeight="false" outlineLevel="0" collapsed="false">
      <c r="A19" s="9" t="s">
        <v>72</v>
      </c>
      <c r="B19" s="9" t="s">
        <v>73</v>
      </c>
      <c r="C19" s="9" t="s">
        <v>127</v>
      </c>
      <c r="D19" s="9" t="s">
        <v>121</v>
      </c>
      <c r="E19" s="10" t="n">
        <v>24390</v>
      </c>
      <c r="F19" s="10" t="n">
        <v>0</v>
      </c>
      <c r="G19" s="10" t="n">
        <v>2195.1</v>
      </c>
      <c r="H19" s="10" t="n">
        <v>2195.1</v>
      </c>
      <c r="I19" s="10" t="n">
        <v>0</v>
      </c>
      <c r="J19" s="10" t="n">
        <v>4390.2</v>
      </c>
      <c r="K19" s="10" t="n">
        <v>28780</v>
      </c>
      <c r="L19" s="9" t="s">
        <v>10</v>
      </c>
      <c r="M19" s="9" t="s">
        <v>76</v>
      </c>
      <c r="N19" s="9"/>
      <c r="O19" s="9" t="s">
        <v>77</v>
      </c>
      <c r="P19" s="11" t="s">
        <v>128</v>
      </c>
    </row>
    <row r="20" customFormat="false" ht="135.8" hidden="false" customHeight="false" outlineLevel="0" collapsed="false">
      <c r="A20" s="9" t="s">
        <v>86</v>
      </c>
      <c r="B20" s="9" t="s">
        <v>87</v>
      </c>
      <c r="C20" s="9" t="s">
        <v>129</v>
      </c>
      <c r="D20" s="9" t="s">
        <v>130</v>
      </c>
      <c r="E20" s="10" t="n">
        <v>33670</v>
      </c>
      <c r="F20" s="10" t="n">
        <v>0</v>
      </c>
      <c r="G20" s="10" t="n">
        <v>1621.75</v>
      </c>
      <c r="H20" s="10" t="n">
        <v>1621.75</v>
      </c>
      <c r="I20" s="10" t="n">
        <v>0</v>
      </c>
      <c r="J20" s="10" t="n">
        <v>3243.5</v>
      </c>
      <c r="K20" s="10" t="n">
        <v>36914</v>
      </c>
      <c r="L20" s="9" t="s">
        <v>10</v>
      </c>
      <c r="M20" s="9" t="s">
        <v>76</v>
      </c>
      <c r="N20" s="9"/>
      <c r="O20" s="9" t="s">
        <v>77</v>
      </c>
      <c r="P20" s="11" t="s">
        <v>131</v>
      </c>
    </row>
    <row r="21" customFormat="false" ht="61.15" hidden="false" customHeight="false" outlineLevel="0" collapsed="false">
      <c r="A21" s="9" t="s">
        <v>132</v>
      </c>
      <c r="B21" s="9" t="s">
        <v>133</v>
      </c>
      <c r="C21" s="9" t="s">
        <v>134</v>
      </c>
      <c r="D21" s="9" t="s">
        <v>130</v>
      </c>
      <c r="E21" s="10" t="n">
        <v>22090</v>
      </c>
      <c r="F21" s="10" t="n">
        <v>3976.2</v>
      </c>
      <c r="G21" s="10" t="n">
        <v>0</v>
      </c>
      <c r="H21" s="10" t="n">
        <v>0</v>
      </c>
      <c r="I21" s="10" t="n">
        <v>0</v>
      </c>
      <c r="J21" s="10" t="n">
        <v>3976.2</v>
      </c>
      <c r="K21" s="10" t="n">
        <v>26066</v>
      </c>
      <c r="L21" s="9" t="s">
        <v>10</v>
      </c>
      <c r="M21" s="9" t="s">
        <v>76</v>
      </c>
      <c r="N21" s="9"/>
      <c r="O21" s="9" t="s">
        <v>77</v>
      </c>
      <c r="P21" s="11" t="s">
        <v>135</v>
      </c>
    </row>
    <row r="22" customFormat="false" ht="61.15" hidden="false" customHeight="false" outlineLevel="0" collapsed="false">
      <c r="A22" s="9" t="s">
        <v>132</v>
      </c>
      <c r="B22" s="9" t="s">
        <v>133</v>
      </c>
      <c r="C22" s="9" t="s">
        <v>136</v>
      </c>
      <c r="D22" s="9" t="s">
        <v>130</v>
      </c>
      <c r="E22" s="10" t="n">
        <v>4570</v>
      </c>
      <c r="F22" s="10" t="n">
        <v>228.5</v>
      </c>
      <c r="G22" s="10" t="n">
        <v>0</v>
      </c>
      <c r="H22" s="10" t="n">
        <v>0</v>
      </c>
      <c r="I22" s="10" t="n">
        <v>0</v>
      </c>
      <c r="J22" s="10" t="n">
        <v>228.5</v>
      </c>
      <c r="K22" s="10" t="n">
        <v>4799</v>
      </c>
      <c r="L22" s="9" t="s">
        <v>10</v>
      </c>
      <c r="M22" s="9" t="s">
        <v>76</v>
      </c>
      <c r="N22" s="9"/>
      <c r="O22" s="9" t="s">
        <v>77</v>
      </c>
      <c r="P22" s="11" t="s">
        <v>137</v>
      </c>
    </row>
    <row r="23" customFormat="false" ht="76.1" hidden="false" customHeight="false" outlineLevel="0" collapsed="false">
      <c r="A23" s="9" t="s">
        <v>72</v>
      </c>
      <c r="B23" s="9" t="s">
        <v>73</v>
      </c>
      <c r="C23" s="9" t="s">
        <v>138</v>
      </c>
      <c r="D23" s="9" t="s">
        <v>130</v>
      </c>
      <c r="E23" s="10" t="n">
        <v>13450</v>
      </c>
      <c r="F23" s="10" t="n">
        <v>0</v>
      </c>
      <c r="G23" s="10" t="n">
        <v>1210.5</v>
      </c>
      <c r="H23" s="10" t="n">
        <v>1210.5</v>
      </c>
      <c r="I23" s="10" t="n">
        <v>0</v>
      </c>
      <c r="J23" s="10" t="n">
        <v>2421</v>
      </c>
      <c r="K23" s="10" t="n">
        <v>15871</v>
      </c>
      <c r="L23" s="9" t="s">
        <v>10</v>
      </c>
      <c r="M23" s="9" t="s">
        <v>76</v>
      </c>
      <c r="N23" s="9"/>
      <c r="O23" s="9" t="s">
        <v>77</v>
      </c>
      <c r="P23" s="11" t="s">
        <v>139</v>
      </c>
    </row>
    <row r="24" customFormat="false" ht="76.1" hidden="false" customHeight="false" outlineLevel="0" collapsed="false">
      <c r="A24" s="9" t="s">
        <v>72</v>
      </c>
      <c r="B24" s="9" t="s">
        <v>73</v>
      </c>
      <c r="C24" s="9" t="s">
        <v>140</v>
      </c>
      <c r="D24" s="9" t="s">
        <v>130</v>
      </c>
      <c r="E24" s="10" t="n">
        <v>8765</v>
      </c>
      <c r="F24" s="10" t="n">
        <v>0</v>
      </c>
      <c r="G24" s="10" t="n">
        <v>219.13</v>
      </c>
      <c r="H24" s="10" t="n">
        <v>219.13</v>
      </c>
      <c r="I24" s="10" t="n">
        <v>0</v>
      </c>
      <c r="J24" s="10" t="n">
        <v>438.26</v>
      </c>
      <c r="K24" s="10" t="n">
        <v>9203</v>
      </c>
      <c r="L24" s="9" t="s">
        <v>10</v>
      </c>
      <c r="M24" s="9" t="s">
        <v>76</v>
      </c>
      <c r="N24" s="9"/>
      <c r="O24" s="9" t="s">
        <v>77</v>
      </c>
      <c r="P24" s="11" t="s">
        <v>141</v>
      </c>
    </row>
    <row r="25" customFormat="false" ht="76.1" hidden="false" customHeight="false" outlineLevel="0" collapsed="false">
      <c r="A25" s="9" t="s">
        <v>72</v>
      </c>
      <c r="B25" s="9" t="s">
        <v>73</v>
      </c>
      <c r="C25" s="9" t="s">
        <v>142</v>
      </c>
      <c r="D25" s="9" t="s">
        <v>143</v>
      </c>
      <c r="E25" s="10" t="n">
        <v>7995</v>
      </c>
      <c r="F25" s="10" t="n">
        <v>0</v>
      </c>
      <c r="G25" s="10" t="n">
        <v>719.55</v>
      </c>
      <c r="H25" s="10" t="n">
        <v>719.55</v>
      </c>
      <c r="I25" s="10" t="n">
        <v>0</v>
      </c>
      <c r="J25" s="10" t="n">
        <v>1439.1</v>
      </c>
      <c r="K25" s="10" t="n">
        <v>9434</v>
      </c>
      <c r="L25" s="9" t="s">
        <v>10</v>
      </c>
      <c r="M25" s="9" t="s">
        <v>76</v>
      </c>
      <c r="N25" s="9"/>
      <c r="O25" s="9" t="s">
        <v>77</v>
      </c>
      <c r="P25" s="11" t="s">
        <v>144</v>
      </c>
    </row>
    <row r="26" customFormat="false" ht="61.15" hidden="false" customHeight="false" outlineLevel="0" collapsed="false">
      <c r="A26" s="9" t="s">
        <v>145</v>
      </c>
      <c r="B26" s="9" t="s">
        <v>146</v>
      </c>
      <c r="C26" s="9" t="s">
        <v>147</v>
      </c>
      <c r="D26" s="9" t="s">
        <v>148</v>
      </c>
      <c r="E26" s="10" t="n">
        <v>20635</v>
      </c>
      <c r="F26" s="10" t="n">
        <v>0</v>
      </c>
      <c r="G26" s="10" t="n">
        <v>515.88</v>
      </c>
      <c r="H26" s="10" t="n">
        <v>515.88</v>
      </c>
      <c r="I26" s="10" t="n">
        <v>0</v>
      </c>
      <c r="J26" s="10" t="n">
        <v>1031.76</v>
      </c>
      <c r="K26" s="10" t="n">
        <v>21667</v>
      </c>
      <c r="L26" s="9" t="s">
        <v>10</v>
      </c>
      <c r="M26" s="9" t="s">
        <v>76</v>
      </c>
      <c r="N26" s="9"/>
      <c r="O26" s="9" t="s">
        <v>77</v>
      </c>
      <c r="P26" s="11" t="s">
        <v>149</v>
      </c>
    </row>
    <row r="27" customFormat="false" ht="76.1" hidden="false" customHeight="false" outlineLevel="0" collapsed="false">
      <c r="A27" s="9" t="s">
        <v>72</v>
      </c>
      <c r="B27" s="9" t="s">
        <v>73</v>
      </c>
      <c r="C27" s="9" t="s">
        <v>150</v>
      </c>
      <c r="D27" s="9" t="s">
        <v>151</v>
      </c>
      <c r="E27" s="10" t="n">
        <v>7075</v>
      </c>
      <c r="F27" s="10" t="n">
        <v>0</v>
      </c>
      <c r="G27" s="10" t="n">
        <v>636.75</v>
      </c>
      <c r="H27" s="10" t="n">
        <v>636.75</v>
      </c>
      <c r="I27" s="10" t="n">
        <v>0</v>
      </c>
      <c r="J27" s="10" t="n">
        <v>1273.5</v>
      </c>
      <c r="K27" s="10" t="n">
        <v>8349</v>
      </c>
      <c r="L27" s="9" t="s">
        <v>10</v>
      </c>
      <c r="M27" s="9" t="s">
        <v>76</v>
      </c>
      <c r="N27" s="9"/>
      <c r="O27" s="9" t="s">
        <v>77</v>
      </c>
      <c r="P27" s="11" t="s">
        <v>152</v>
      </c>
    </row>
    <row r="28" customFormat="false" ht="135.8" hidden="false" customHeight="false" outlineLevel="0" collapsed="false">
      <c r="A28" s="9" t="s">
        <v>86</v>
      </c>
      <c r="B28" s="9" t="s">
        <v>87</v>
      </c>
      <c r="C28" s="9" t="s">
        <v>153</v>
      </c>
      <c r="D28" s="9" t="s">
        <v>154</v>
      </c>
      <c r="E28" s="10" t="n">
        <v>22545</v>
      </c>
      <c r="F28" s="10" t="n">
        <v>0</v>
      </c>
      <c r="G28" s="10" t="n">
        <v>2029.05</v>
      </c>
      <c r="H28" s="10" t="n">
        <v>2029.05</v>
      </c>
      <c r="I28" s="10" t="n">
        <v>0</v>
      </c>
      <c r="J28" s="10" t="n">
        <v>4058.1</v>
      </c>
      <c r="K28" s="10" t="n">
        <v>26603</v>
      </c>
      <c r="L28" s="9" t="s">
        <v>10</v>
      </c>
      <c r="M28" s="9" t="s">
        <v>76</v>
      </c>
      <c r="N28" s="9"/>
      <c r="O28" s="9" t="s">
        <v>77</v>
      </c>
      <c r="P28" s="11" t="s">
        <v>155</v>
      </c>
    </row>
    <row r="29" customFormat="false" ht="76.1" hidden="false" customHeight="false" outlineLevel="0" collapsed="false">
      <c r="A29" s="9" t="s">
        <v>72</v>
      </c>
      <c r="B29" s="9" t="s">
        <v>73</v>
      </c>
      <c r="C29" s="9" t="s">
        <v>156</v>
      </c>
      <c r="D29" s="9" t="s">
        <v>154</v>
      </c>
      <c r="E29" s="10" t="n">
        <v>11160</v>
      </c>
      <c r="F29" s="10" t="n">
        <v>0</v>
      </c>
      <c r="G29" s="10" t="n">
        <v>1004.4</v>
      </c>
      <c r="H29" s="10" t="n">
        <v>1004.4</v>
      </c>
      <c r="I29" s="10" t="n">
        <v>0</v>
      </c>
      <c r="J29" s="10" t="n">
        <v>2008.8</v>
      </c>
      <c r="K29" s="10" t="n">
        <v>13169</v>
      </c>
      <c r="L29" s="9" t="s">
        <v>10</v>
      </c>
      <c r="M29" s="9" t="s">
        <v>76</v>
      </c>
      <c r="N29" s="9"/>
      <c r="O29" s="9" t="s">
        <v>77</v>
      </c>
      <c r="P29" s="11" t="s">
        <v>157</v>
      </c>
    </row>
    <row r="30" customFormat="false" ht="76.1" hidden="false" customHeight="false" outlineLevel="0" collapsed="false">
      <c r="A30" s="9" t="s">
        <v>72</v>
      </c>
      <c r="B30" s="9" t="s">
        <v>73</v>
      </c>
      <c r="C30" s="9" t="s">
        <v>158</v>
      </c>
      <c r="D30" s="9" t="s">
        <v>154</v>
      </c>
      <c r="E30" s="10" t="n">
        <v>7075</v>
      </c>
      <c r="F30" s="10" t="n">
        <v>0</v>
      </c>
      <c r="G30" s="10" t="n">
        <v>636.75</v>
      </c>
      <c r="H30" s="10" t="n">
        <v>636.75</v>
      </c>
      <c r="I30" s="10" t="n">
        <v>0</v>
      </c>
      <c r="J30" s="10" t="n">
        <v>1273.5</v>
      </c>
      <c r="K30" s="10" t="n">
        <v>8349</v>
      </c>
      <c r="L30" s="9" t="s">
        <v>10</v>
      </c>
      <c r="M30" s="9" t="s">
        <v>76</v>
      </c>
      <c r="N30" s="9"/>
      <c r="O30" s="9" t="s">
        <v>77</v>
      </c>
      <c r="P30" s="11" t="s">
        <v>159</v>
      </c>
    </row>
    <row r="31" customFormat="false" ht="76.1" hidden="false" customHeight="false" outlineLevel="0" collapsed="false">
      <c r="A31" s="9" t="s">
        <v>72</v>
      </c>
      <c r="B31" s="9" t="s">
        <v>73</v>
      </c>
      <c r="C31" s="9" t="s">
        <v>160</v>
      </c>
      <c r="D31" s="9" t="s">
        <v>154</v>
      </c>
      <c r="E31" s="10" t="n">
        <v>17355</v>
      </c>
      <c r="F31" s="10" t="n">
        <v>0</v>
      </c>
      <c r="G31" s="10" t="n">
        <v>1561.95</v>
      </c>
      <c r="H31" s="10" t="n">
        <v>1561.95</v>
      </c>
      <c r="I31" s="10" t="n">
        <v>0</v>
      </c>
      <c r="J31" s="10" t="n">
        <v>3123.9</v>
      </c>
      <c r="K31" s="10" t="n">
        <v>20479</v>
      </c>
      <c r="L31" s="9" t="s">
        <v>10</v>
      </c>
      <c r="M31" s="9" t="s">
        <v>76</v>
      </c>
      <c r="N31" s="9"/>
      <c r="O31" s="9" t="s">
        <v>77</v>
      </c>
      <c r="P31" s="11" t="s">
        <v>161</v>
      </c>
    </row>
    <row r="32" customFormat="false" ht="76.1" hidden="false" customHeight="false" outlineLevel="0" collapsed="false">
      <c r="A32" s="9" t="s">
        <v>72</v>
      </c>
      <c r="B32" s="9" t="s">
        <v>73</v>
      </c>
      <c r="C32" s="9" t="s">
        <v>162</v>
      </c>
      <c r="D32" s="9" t="s">
        <v>163</v>
      </c>
      <c r="E32" s="10" t="n">
        <v>18985</v>
      </c>
      <c r="F32" s="10" t="n">
        <v>0</v>
      </c>
      <c r="G32" s="10" t="n">
        <v>1708.65</v>
      </c>
      <c r="H32" s="10" t="n">
        <v>1708.65</v>
      </c>
      <c r="I32" s="10" t="n">
        <v>0</v>
      </c>
      <c r="J32" s="10" t="n">
        <v>3417.3</v>
      </c>
      <c r="K32" s="10" t="n">
        <v>22402</v>
      </c>
      <c r="L32" s="9" t="s">
        <v>10</v>
      </c>
      <c r="M32" s="9" t="s">
        <v>76</v>
      </c>
      <c r="N32" s="9"/>
      <c r="O32" s="9" t="s">
        <v>77</v>
      </c>
      <c r="P32" s="11" t="s">
        <v>164</v>
      </c>
    </row>
    <row r="33" customFormat="false" ht="76.1" hidden="false" customHeight="false" outlineLevel="0" collapsed="false">
      <c r="A33" s="9" t="s">
        <v>72</v>
      </c>
      <c r="B33" s="9" t="s">
        <v>73</v>
      </c>
      <c r="C33" s="9" t="s">
        <v>165</v>
      </c>
      <c r="D33" s="9" t="s">
        <v>163</v>
      </c>
      <c r="E33" s="10" t="n">
        <v>17600</v>
      </c>
      <c r="F33" s="10" t="n">
        <v>0</v>
      </c>
      <c r="G33" s="10" t="n">
        <v>1584</v>
      </c>
      <c r="H33" s="10" t="n">
        <v>1584</v>
      </c>
      <c r="I33" s="10" t="n">
        <v>0</v>
      </c>
      <c r="J33" s="10" t="n">
        <v>3168</v>
      </c>
      <c r="K33" s="10" t="n">
        <v>20768</v>
      </c>
      <c r="L33" s="9" t="s">
        <v>10</v>
      </c>
      <c r="M33" s="9" t="s">
        <v>76</v>
      </c>
      <c r="N33" s="9"/>
      <c r="O33" s="9" t="s">
        <v>77</v>
      </c>
      <c r="P33" s="11" t="s">
        <v>166</v>
      </c>
    </row>
    <row r="34" customFormat="false" ht="76.1" hidden="false" customHeight="false" outlineLevel="0" collapsed="false">
      <c r="A34" s="9" t="s">
        <v>72</v>
      </c>
      <c r="B34" s="9" t="s">
        <v>73</v>
      </c>
      <c r="C34" s="9" t="s">
        <v>167</v>
      </c>
      <c r="D34" s="9" t="s">
        <v>163</v>
      </c>
      <c r="E34" s="10" t="n">
        <v>32685</v>
      </c>
      <c r="F34" s="10" t="n">
        <v>0</v>
      </c>
      <c r="G34" s="10" t="n">
        <v>2549.7</v>
      </c>
      <c r="H34" s="10" t="n">
        <v>2549.7</v>
      </c>
      <c r="I34" s="10" t="n">
        <v>0</v>
      </c>
      <c r="J34" s="10" t="n">
        <v>5099.4</v>
      </c>
      <c r="K34" s="10" t="n">
        <v>37784</v>
      </c>
      <c r="L34" s="9" t="s">
        <v>10</v>
      </c>
      <c r="M34" s="9" t="s">
        <v>76</v>
      </c>
      <c r="N34" s="9"/>
      <c r="O34" s="9" t="s">
        <v>77</v>
      </c>
      <c r="P34" s="11" t="s">
        <v>168</v>
      </c>
    </row>
    <row r="35" customFormat="false" ht="76.1" hidden="false" customHeight="false" outlineLevel="0" collapsed="false">
      <c r="A35" s="9" t="s">
        <v>72</v>
      </c>
      <c r="B35" s="9" t="s">
        <v>73</v>
      </c>
      <c r="C35" s="9" t="s">
        <v>169</v>
      </c>
      <c r="D35" s="9" t="s">
        <v>163</v>
      </c>
      <c r="E35" s="10" t="n">
        <v>23485</v>
      </c>
      <c r="F35" s="10" t="n">
        <v>0</v>
      </c>
      <c r="G35" s="10" t="n">
        <v>2113.65</v>
      </c>
      <c r="H35" s="10" t="n">
        <v>2113.65</v>
      </c>
      <c r="I35" s="10" t="n">
        <v>0</v>
      </c>
      <c r="J35" s="10" t="n">
        <v>4227.3</v>
      </c>
      <c r="K35" s="10" t="n">
        <v>27712</v>
      </c>
      <c r="L35" s="9" t="s">
        <v>10</v>
      </c>
      <c r="M35" s="9" t="s">
        <v>76</v>
      </c>
      <c r="N35" s="9"/>
      <c r="O35" s="9" t="s">
        <v>77</v>
      </c>
      <c r="P35" s="11" t="s">
        <v>170</v>
      </c>
    </row>
    <row r="36" customFormat="false" ht="76.1" hidden="false" customHeight="false" outlineLevel="0" collapsed="false">
      <c r="A36" s="9" t="s">
        <v>72</v>
      </c>
      <c r="B36" s="9" t="s">
        <v>73</v>
      </c>
      <c r="C36" s="9" t="s">
        <v>171</v>
      </c>
      <c r="D36" s="9" t="s">
        <v>163</v>
      </c>
      <c r="E36" s="10" t="n">
        <v>38440</v>
      </c>
      <c r="F36" s="10" t="n">
        <v>0</v>
      </c>
      <c r="G36" s="10" t="n">
        <v>3459.6</v>
      </c>
      <c r="H36" s="10" t="n">
        <v>3459.6</v>
      </c>
      <c r="I36" s="10" t="n">
        <v>0</v>
      </c>
      <c r="J36" s="10" t="n">
        <v>6919.2</v>
      </c>
      <c r="K36" s="10" t="n">
        <v>45359</v>
      </c>
      <c r="L36" s="9" t="s">
        <v>10</v>
      </c>
      <c r="M36" s="9" t="s">
        <v>76</v>
      </c>
      <c r="N36" s="9"/>
      <c r="O36" s="9" t="s">
        <v>77</v>
      </c>
      <c r="P36" s="11" t="s">
        <v>172</v>
      </c>
    </row>
    <row r="37" customFormat="false" ht="76.1" hidden="false" customHeight="false" outlineLevel="0" collapsed="false">
      <c r="A37" s="12" t="s">
        <v>173</v>
      </c>
      <c r="B37" s="12" t="s">
        <v>174</v>
      </c>
      <c r="C37" s="12" t="s">
        <v>175</v>
      </c>
      <c r="D37" s="12" t="s">
        <v>176</v>
      </c>
      <c r="E37" s="13" t="n">
        <v>599</v>
      </c>
      <c r="F37" s="13" t="n">
        <v>0</v>
      </c>
      <c r="G37" s="13" t="n">
        <v>53.91</v>
      </c>
      <c r="H37" s="13" t="n">
        <v>53.91</v>
      </c>
      <c r="I37" s="13" t="n">
        <v>0</v>
      </c>
      <c r="J37" s="13" t="n">
        <v>107.82</v>
      </c>
      <c r="K37" s="13" t="n">
        <v>706.82</v>
      </c>
      <c r="L37" s="12" t="s">
        <v>177</v>
      </c>
      <c r="M37" s="12" t="s">
        <v>178</v>
      </c>
      <c r="N37" s="12"/>
      <c r="O37" s="12" t="s">
        <v>179</v>
      </c>
      <c r="P37" s="14" t="s">
        <v>180</v>
      </c>
    </row>
    <row r="38" customFormat="false" ht="76.1" hidden="false" customHeight="false" outlineLevel="0" collapsed="false">
      <c r="A38" s="12" t="s">
        <v>181</v>
      </c>
      <c r="B38" s="12" t="s">
        <v>182</v>
      </c>
      <c r="C38" s="12" t="s">
        <v>183</v>
      </c>
      <c r="D38" s="12" t="s">
        <v>163</v>
      </c>
      <c r="E38" s="13" t="n">
        <v>20</v>
      </c>
      <c r="F38" s="13" t="n">
        <v>0</v>
      </c>
      <c r="G38" s="13" t="n">
        <v>1.8</v>
      </c>
      <c r="H38" s="13" t="n">
        <v>1.8</v>
      </c>
      <c r="I38" s="13" t="n">
        <v>0</v>
      </c>
      <c r="J38" s="13" t="n">
        <v>3.6</v>
      </c>
      <c r="K38" s="13" t="n">
        <v>23.6</v>
      </c>
      <c r="L38" s="12" t="s">
        <v>177</v>
      </c>
      <c r="M38" s="12" t="s">
        <v>76</v>
      </c>
      <c r="N38" s="12"/>
      <c r="O38" s="12" t="s">
        <v>179</v>
      </c>
      <c r="P38" s="14" t="s">
        <v>184</v>
      </c>
    </row>
    <row r="39" customFormat="false" ht="76.1" hidden="false" customHeight="false" outlineLevel="0" collapsed="false">
      <c r="A39" s="12" t="s">
        <v>185</v>
      </c>
      <c r="B39" s="12" t="s">
        <v>186</v>
      </c>
      <c r="C39" s="12" t="s">
        <v>187</v>
      </c>
      <c r="D39" s="12" t="s">
        <v>163</v>
      </c>
      <c r="E39" s="13" t="n">
        <v>192.24</v>
      </c>
      <c r="F39" s="13" t="n">
        <v>34.6</v>
      </c>
      <c r="G39" s="13" t="n">
        <v>0</v>
      </c>
      <c r="H39" s="13" t="n">
        <v>0</v>
      </c>
      <c r="I39" s="13" t="n">
        <v>0</v>
      </c>
      <c r="J39" s="13" t="n">
        <v>34.6</v>
      </c>
      <c r="K39" s="13" t="n">
        <v>226.84</v>
      </c>
      <c r="L39" s="12" t="s">
        <v>177</v>
      </c>
      <c r="M39" s="12" t="s">
        <v>76</v>
      </c>
      <c r="N39" s="12"/>
      <c r="O39" s="12" t="s">
        <v>179</v>
      </c>
      <c r="P39" s="14" t="s">
        <v>188</v>
      </c>
    </row>
    <row r="40" customFormat="false" ht="61.15" hidden="false" customHeight="false" outlineLevel="0" collapsed="false">
      <c r="A40" s="12" t="s">
        <v>189</v>
      </c>
      <c r="B40" s="12" t="s">
        <v>190</v>
      </c>
      <c r="C40" s="12" t="s">
        <v>191</v>
      </c>
      <c r="D40" s="12" t="s">
        <v>75</v>
      </c>
      <c r="E40" s="13" t="n">
        <v>10000</v>
      </c>
      <c r="F40" s="13" t="n">
        <v>1800</v>
      </c>
      <c r="G40" s="13" t="n">
        <v>0</v>
      </c>
      <c r="H40" s="13" t="n">
        <v>0</v>
      </c>
      <c r="I40" s="13" t="n">
        <v>0</v>
      </c>
      <c r="J40" s="13" t="n">
        <v>1800</v>
      </c>
      <c r="K40" s="13" t="n">
        <v>11800</v>
      </c>
      <c r="L40" s="12" t="s">
        <v>177</v>
      </c>
      <c r="M40" s="12" t="s">
        <v>76</v>
      </c>
      <c r="N40" s="12"/>
      <c r="O40" s="12" t="s">
        <v>179</v>
      </c>
      <c r="P40" s="14" t="s">
        <v>192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14" min="2" style="0" width="18"/>
  </cols>
  <sheetData>
    <row r="1" customFormat="false" ht="15" hidden="false" customHeight="false" outlineLevel="0" collapsed="false">
      <c r="A1" s="8" t="s">
        <v>56</v>
      </c>
      <c r="B1" s="8" t="s">
        <v>57</v>
      </c>
      <c r="C1" s="8" t="s">
        <v>193</v>
      </c>
      <c r="D1" s="8" t="s">
        <v>194</v>
      </c>
      <c r="E1" s="8" t="s">
        <v>195</v>
      </c>
      <c r="F1" s="8" t="s">
        <v>60</v>
      </c>
      <c r="G1" s="8" t="s">
        <v>61</v>
      </c>
      <c r="H1" s="8" t="s">
        <v>62</v>
      </c>
      <c r="I1" s="8" t="s">
        <v>63</v>
      </c>
      <c r="J1" s="8" t="s">
        <v>64</v>
      </c>
      <c r="K1" s="8" t="s">
        <v>65</v>
      </c>
      <c r="L1" s="8" t="s">
        <v>196</v>
      </c>
      <c r="M1" s="8" t="s">
        <v>197</v>
      </c>
      <c r="N1" s="8" t="s">
        <v>198</v>
      </c>
    </row>
    <row r="2" customFormat="false" ht="15" hidden="false" customHeight="false" outlineLevel="0" collapsed="false">
      <c r="A2" s="0" t="s">
        <v>199</v>
      </c>
      <c r="B2" s="0" t="s">
        <v>82</v>
      </c>
      <c r="C2" s="0" t="s">
        <v>200</v>
      </c>
      <c r="D2" s="0" t="s">
        <v>201</v>
      </c>
      <c r="E2" s="0" t="s">
        <v>202</v>
      </c>
      <c r="F2" s="3" t="n">
        <v>361</v>
      </c>
      <c r="G2" s="3" t="n">
        <v>0</v>
      </c>
      <c r="H2" s="3" t="n">
        <v>32.49</v>
      </c>
      <c r="I2" s="3" t="n">
        <v>32.49</v>
      </c>
      <c r="J2" s="3" t="n">
        <v>0</v>
      </c>
      <c r="K2" s="3" t="n">
        <v>64.98</v>
      </c>
      <c r="L2" s="3" t="n">
        <v>426</v>
      </c>
      <c r="M2" s="15" t="s">
        <v>203</v>
      </c>
      <c r="N2" s="15" t="s">
        <v>204</v>
      </c>
    </row>
    <row r="3" customFormat="false" ht="15" hidden="false" customHeight="false" outlineLevel="0" collapsed="false">
      <c r="A3" s="0" t="s">
        <v>199</v>
      </c>
      <c r="B3" s="0" t="s">
        <v>82</v>
      </c>
      <c r="C3" s="0" t="s">
        <v>205</v>
      </c>
      <c r="D3" s="0" t="s">
        <v>201</v>
      </c>
      <c r="E3" s="0" t="s">
        <v>154</v>
      </c>
      <c r="F3" s="3" t="n">
        <v>1193</v>
      </c>
      <c r="G3" s="3" t="n">
        <v>0</v>
      </c>
      <c r="H3" s="3" t="n">
        <v>78.64</v>
      </c>
      <c r="I3" s="3" t="n">
        <v>78.64</v>
      </c>
      <c r="J3" s="3" t="n">
        <v>0</v>
      </c>
      <c r="K3" s="3" t="n">
        <v>157.28</v>
      </c>
      <c r="L3" s="3" t="n">
        <v>1350</v>
      </c>
      <c r="M3" s="15" t="s">
        <v>203</v>
      </c>
      <c r="N3" s="15" t="s">
        <v>204</v>
      </c>
    </row>
    <row r="4" customFormat="false" ht="15" hidden="false" customHeight="false" outlineLevel="0" collapsed="false">
      <c r="A4" s="0" t="s">
        <v>199</v>
      </c>
      <c r="B4" s="0" t="s">
        <v>82</v>
      </c>
      <c r="C4" s="0" t="s">
        <v>206</v>
      </c>
      <c r="D4" s="0" t="s">
        <v>201</v>
      </c>
      <c r="E4" s="0" t="s">
        <v>207</v>
      </c>
      <c r="F4" s="3" t="n">
        <v>6650</v>
      </c>
      <c r="G4" s="3" t="n">
        <v>0</v>
      </c>
      <c r="H4" s="3" t="n">
        <v>598.5</v>
      </c>
      <c r="I4" s="3" t="n">
        <v>598.5</v>
      </c>
      <c r="J4" s="3" t="n">
        <v>0</v>
      </c>
      <c r="K4" s="3" t="n">
        <v>1197</v>
      </c>
      <c r="L4" s="3" t="n">
        <v>7847</v>
      </c>
      <c r="M4" s="15" t="s">
        <v>203</v>
      </c>
      <c r="N4" s="15" t="s">
        <v>204</v>
      </c>
    </row>
    <row r="5" customFormat="false" ht="15" hidden="false" customHeight="false" outlineLevel="0" collapsed="false">
      <c r="A5" s="0" t="s">
        <v>199</v>
      </c>
      <c r="B5" s="0" t="s">
        <v>82</v>
      </c>
      <c r="C5" s="0" t="s">
        <v>208</v>
      </c>
      <c r="D5" s="0" t="s">
        <v>201</v>
      </c>
      <c r="E5" s="0" t="s">
        <v>202</v>
      </c>
      <c r="F5" s="3" t="n">
        <v>8953</v>
      </c>
      <c r="G5" s="3" t="n">
        <v>0</v>
      </c>
      <c r="H5" s="3" t="n">
        <v>223.82</v>
      </c>
      <c r="I5" s="3" t="n">
        <v>223.82</v>
      </c>
      <c r="J5" s="3" t="n">
        <v>0</v>
      </c>
      <c r="K5" s="3" t="n">
        <v>447.64</v>
      </c>
      <c r="L5" s="3" t="n">
        <v>9401</v>
      </c>
      <c r="M5" s="15" t="s">
        <v>203</v>
      </c>
      <c r="N5" s="15" t="s">
        <v>204</v>
      </c>
    </row>
    <row r="6" customFormat="false" ht="15" hidden="false" customHeight="false" outlineLevel="0" collapsed="false">
      <c r="A6" s="0" t="s">
        <v>199</v>
      </c>
      <c r="B6" s="0" t="s">
        <v>82</v>
      </c>
      <c r="C6" s="0" t="s">
        <v>209</v>
      </c>
      <c r="D6" s="0" t="s">
        <v>201</v>
      </c>
      <c r="E6" s="0" t="s">
        <v>151</v>
      </c>
      <c r="F6" s="3" t="n">
        <v>11890</v>
      </c>
      <c r="G6" s="3" t="n">
        <v>0</v>
      </c>
      <c r="H6" s="3" t="n">
        <v>1070.1</v>
      </c>
      <c r="I6" s="3" t="n">
        <v>1070.1</v>
      </c>
      <c r="J6" s="3" t="n">
        <v>0</v>
      </c>
      <c r="K6" s="3" t="n">
        <v>2140.2</v>
      </c>
      <c r="L6" s="3" t="n">
        <v>14030</v>
      </c>
      <c r="M6" s="15" t="s">
        <v>203</v>
      </c>
      <c r="N6" s="15" t="s">
        <v>204</v>
      </c>
    </row>
    <row r="7" customFormat="false" ht="15" hidden="false" customHeight="false" outlineLevel="0" collapsed="false">
      <c r="A7" s="0" t="s">
        <v>210</v>
      </c>
      <c r="B7" s="0" t="s">
        <v>73</v>
      </c>
      <c r="C7" s="0" t="s">
        <v>211</v>
      </c>
      <c r="D7" s="0" t="s">
        <v>201</v>
      </c>
      <c r="E7" s="0" t="s">
        <v>121</v>
      </c>
      <c r="F7" s="3" t="n">
        <v>3444.5</v>
      </c>
      <c r="G7" s="3" t="n">
        <v>0</v>
      </c>
      <c r="H7" s="3" t="n">
        <v>182.75</v>
      </c>
      <c r="I7" s="3" t="n">
        <v>182.75</v>
      </c>
      <c r="J7" s="3" t="n">
        <v>0</v>
      </c>
      <c r="K7" s="3" t="n">
        <v>365.5</v>
      </c>
      <c r="L7" s="3" t="n">
        <v>3810</v>
      </c>
      <c r="M7" s="15" t="s">
        <v>203</v>
      </c>
      <c r="N7" s="15" t="s">
        <v>204</v>
      </c>
    </row>
    <row r="8" customFormat="false" ht="15" hidden="false" customHeight="false" outlineLevel="0" collapsed="false">
      <c r="A8" s="0" t="s">
        <v>210</v>
      </c>
      <c r="B8" s="0" t="s">
        <v>73</v>
      </c>
      <c r="C8" s="0" t="s">
        <v>212</v>
      </c>
      <c r="D8" s="0" t="s">
        <v>201</v>
      </c>
      <c r="E8" s="0" t="s">
        <v>163</v>
      </c>
      <c r="F8" s="3" t="n">
        <v>3577.26</v>
      </c>
      <c r="G8" s="3" t="n">
        <v>0</v>
      </c>
      <c r="H8" s="3" t="n">
        <v>285.87</v>
      </c>
      <c r="I8" s="3" t="n">
        <v>285.87</v>
      </c>
      <c r="J8" s="3" t="n">
        <v>0</v>
      </c>
      <c r="K8" s="3" t="n">
        <v>571.74</v>
      </c>
      <c r="L8" s="3" t="n">
        <v>4149</v>
      </c>
      <c r="M8" s="15" t="s">
        <v>203</v>
      </c>
      <c r="N8" s="15" t="s">
        <v>204</v>
      </c>
    </row>
    <row r="9" customFormat="false" ht="15" hidden="false" customHeight="false" outlineLevel="0" collapsed="false">
      <c r="A9" s="0" t="s">
        <v>210</v>
      </c>
      <c r="B9" s="0" t="s">
        <v>73</v>
      </c>
      <c r="C9" s="0" t="s">
        <v>213</v>
      </c>
      <c r="D9" s="0" t="s">
        <v>201</v>
      </c>
      <c r="E9" s="0" t="s">
        <v>116</v>
      </c>
      <c r="F9" s="3" t="n">
        <v>1660</v>
      </c>
      <c r="G9" s="3" t="n">
        <v>0</v>
      </c>
      <c r="H9" s="3" t="n">
        <v>41.5</v>
      </c>
      <c r="I9" s="3" t="n">
        <v>41.5</v>
      </c>
      <c r="J9" s="3" t="n">
        <v>0</v>
      </c>
      <c r="K9" s="3" t="n">
        <v>83</v>
      </c>
      <c r="L9" s="3" t="n">
        <v>1743</v>
      </c>
      <c r="M9" s="15" t="s">
        <v>203</v>
      </c>
      <c r="N9" s="15" t="s">
        <v>204</v>
      </c>
    </row>
    <row r="10" customFormat="false" ht="15" hidden="false" customHeight="false" outlineLevel="0" collapsed="false">
      <c r="A10" s="0" t="s">
        <v>210</v>
      </c>
      <c r="B10" s="0" t="s">
        <v>73</v>
      </c>
      <c r="C10" s="0" t="s">
        <v>214</v>
      </c>
      <c r="D10" s="0" t="s">
        <v>201</v>
      </c>
      <c r="E10" s="0" t="s">
        <v>163</v>
      </c>
      <c r="F10" s="3" t="n">
        <v>18930</v>
      </c>
      <c r="G10" s="3" t="n">
        <v>0</v>
      </c>
      <c r="H10" s="3" t="n">
        <v>1703.7</v>
      </c>
      <c r="I10" s="3" t="n">
        <v>1703.7</v>
      </c>
      <c r="J10" s="3" t="n">
        <v>0</v>
      </c>
      <c r="K10" s="3" t="n">
        <v>3407.4</v>
      </c>
      <c r="L10" s="3" t="n">
        <v>22337</v>
      </c>
      <c r="M10" s="15" t="s">
        <v>203</v>
      </c>
      <c r="N10" s="15" t="s">
        <v>204</v>
      </c>
    </row>
    <row r="11" customFormat="false" ht="15" hidden="false" customHeight="false" outlineLevel="0" collapsed="false">
      <c r="A11" s="0" t="s">
        <v>215</v>
      </c>
      <c r="B11" s="0" t="s">
        <v>146</v>
      </c>
      <c r="C11" s="0" t="s">
        <v>216</v>
      </c>
      <c r="D11" s="0" t="s">
        <v>201</v>
      </c>
      <c r="E11" s="0" t="s">
        <v>151</v>
      </c>
      <c r="F11" s="3" t="n">
        <v>4510</v>
      </c>
      <c r="G11" s="3" t="n">
        <v>0</v>
      </c>
      <c r="H11" s="3" t="n">
        <v>112.75</v>
      </c>
      <c r="I11" s="3" t="n">
        <v>112.75</v>
      </c>
      <c r="J11" s="3" t="n">
        <v>0</v>
      </c>
      <c r="K11" s="3" t="n">
        <v>225.5</v>
      </c>
      <c r="L11" s="3" t="n">
        <v>4736</v>
      </c>
      <c r="M11" s="15" t="s">
        <v>203</v>
      </c>
      <c r="N11" s="15" t="s">
        <v>204</v>
      </c>
    </row>
    <row r="12" customFormat="false" ht="15" hidden="false" customHeight="false" outlineLevel="0" collapsed="false">
      <c r="A12" s="0" t="s">
        <v>86</v>
      </c>
      <c r="B12" s="0" t="s">
        <v>87</v>
      </c>
      <c r="C12" s="0" t="s">
        <v>217</v>
      </c>
      <c r="D12" s="0" t="s">
        <v>201</v>
      </c>
      <c r="E12" s="0" t="s">
        <v>84</v>
      </c>
      <c r="F12" s="3" t="n">
        <v>6100</v>
      </c>
      <c r="G12" s="3" t="n">
        <v>0</v>
      </c>
      <c r="H12" s="3" t="n">
        <v>549</v>
      </c>
      <c r="I12" s="3" t="n">
        <v>549</v>
      </c>
      <c r="J12" s="3" t="n">
        <v>0</v>
      </c>
      <c r="K12" s="3" t="n">
        <v>1098</v>
      </c>
      <c r="L12" s="3" t="n">
        <v>7198</v>
      </c>
      <c r="M12" s="15" t="s">
        <v>203</v>
      </c>
      <c r="N12" s="15" t="s">
        <v>204</v>
      </c>
    </row>
    <row r="13" customFormat="false" ht="15" hidden="false" customHeight="false" outlineLevel="0" collapsed="false">
      <c r="A13" s="0" t="s">
        <v>86</v>
      </c>
      <c r="B13" s="0" t="s">
        <v>87</v>
      </c>
      <c r="C13" s="0" t="s">
        <v>218</v>
      </c>
      <c r="D13" s="0" t="s">
        <v>201</v>
      </c>
      <c r="E13" s="0" t="s">
        <v>219</v>
      </c>
      <c r="F13" s="3" t="n">
        <v>1649.52</v>
      </c>
      <c r="G13" s="3" t="n">
        <v>0</v>
      </c>
      <c r="H13" s="3" t="n">
        <v>41.24</v>
      </c>
      <c r="I13" s="3" t="n">
        <v>41.24</v>
      </c>
      <c r="J13" s="3" t="n">
        <v>0</v>
      </c>
      <c r="K13" s="3" t="n">
        <v>82.48</v>
      </c>
      <c r="L13" s="3" t="n">
        <v>1732</v>
      </c>
      <c r="M13" s="15" t="s">
        <v>203</v>
      </c>
      <c r="N13" s="15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52"/>
  </cols>
  <sheetData>
    <row r="1" customFormat="false" ht="15" hidden="false" customHeight="false" outlineLevel="0" collapsed="false">
      <c r="A1" s="8" t="s">
        <v>220</v>
      </c>
      <c r="B1" s="8" t="s">
        <v>221</v>
      </c>
      <c r="C1" s="8" t="s">
        <v>222</v>
      </c>
      <c r="D1" s="8" t="s">
        <v>223</v>
      </c>
    </row>
    <row r="2" customFormat="false" ht="46.25" hidden="false" customHeight="false" outlineLevel="0" collapsed="false">
      <c r="A2" s="7" t="s">
        <v>24</v>
      </c>
      <c r="B2" s="7" t="s">
        <v>25</v>
      </c>
      <c r="C2" s="7" t="s">
        <v>26</v>
      </c>
      <c r="D2" s="7" t="s">
        <v>27</v>
      </c>
    </row>
    <row r="3" customFormat="false" ht="31.3" hidden="false" customHeight="false" outlineLevel="0" collapsed="false">
      <c r="A3" s="7" t="s">
        <v>28</v>
      </c>
      <c r="B3" s="7" t="s">
        <v>29</v>
      </c>
      <c r="C3" s="7" t="s">
        <v>30</v>
      </c>
      <c r="D3" s="7" t="s">
        <v>31</v>
      </c>
    </row>
    <row r="4" customFormat="false" ht="31.3" hidden="false" customHeight="false" outlineLevel="0" collapsed="false">
      <c r="A4" s="7" t="s">
        <v>32</v>
      </c>
      <c r="B4" s="7" t="s">
        <v>33</v>
      </c>
      <c r="C4" s="7" t="s">
        <v>34</v>
      </c>
      <c r="D4" s="7" t="s">
        <v>35</v>
      </c>
    </row>
    <row r="5" customFormat="false" ht="31.3" hidden="false" customHeight="false" outlineLevel="0" collapsed="false">
      <c r="A5" s="7" t="s">
        <v>36</v>
      </c>
      <c r="B5" s="7" t="s">
        <v>37</v>
      </c>
      <c r="C5" s="7" t="s">
        <v>38</v>
      </c>
      <c r="D5" s="7" t="s">
        <v>39</v>
      </c>
    </row>
    <row r="6" customFormat="false" ht="61.15" hidden="false" customHeight="false" outlineLevel="0" collapsed="false">
      <c r="A6" s="7" t="s">
        <v>40</v>
      </c>
      <c r="B6" s="7" t="s">
        <v>41</v>
      </c>
      <c r="C6" s="7" t="s">
        <v>42</v>
      </c>
      <c r="D6" s="7" t="s">
        <v>43</v>
      </c>
    </row>
    <row r="7" customFormat="false" ht="46.25" hidden="false" customHeight="false" outlineLevel="0" collapsed="false">
      <c r="A7" s="7" t="s">
        <v>44</v>
      </c>
      <c r="B7" s="7" t="s">
        <v>45</v>
      </c>
      <c r="C7" s="7" t="s">
        <v>46</v>
      </c>
      <c r="D7" s="7" t="s">
        <v>47</v>
      </c>
    </row>
    <row r="8" customFormat="false" ht="31.3" hidden="false" customHeight="false" outlineLevel="0" collapsed="false">
      <c r="A8" s="7" t="s">
        <v>48</v>
      </c>
      <c r="B8" s="7" t="s">
        <v>49</v>
      </c>
      <c r="C8" s="7" t="s">
        <v>50</v>
      </c>
      <c r="D8" s="7" t="s">
        <v>51</v>
      </c>
    </row>
    <row r="9" customFormat="false" ht="31.3" hidden="false" customHeight="false" outlineLevel="0" collapsed="false">
      <c r="A9" s="7" t="s">
        <v>52</v>
      </c>
      <c r="B9" s="7" t="s">
        <v>53</v>
      </c>
      <c r="C9" s="7" t="s">
        <v>54</v>
      </c>
      <c r="D9" s="7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2026-09-26T12:09:51Z</dcterms:created>
  <dc:creator>openpyxl</dc:creator>
  <dc:description/>
  <dc:language>en-US</dc:language>
  <cp:lastModifiedBy/>
  <dcterms:modified xsi:type="dcterms:W3CDTF">2026-09-26T12:09:51Z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