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Amount Difference" sheetId="4" state="visible" r:id="rId6"/>
    <sheet name="Not in Books" sheetId="5" state="visible" r:id="rId7"/>
    <sheet name="Not in Portal" sheetId="6" state="visible" r:id="rId8"/>
    <sheet name="Credit Notes" sheetId="7" state="visible" r:id="rId9"/>
  </sheets>
  <definedNames>
    <definedName function="false" hidden="false" localSheetId="3" name="_xlnm.Print_Titles" vbProcedure="false">'Amount Difference'!$1:$1</definedName>
    <definedName function="false" hidden="false" localSheetId="6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4" name="_xlnm.Print_Titles" vbProcedure="false">'Not in Books'!$1:$1</definedName>
    <definedName function="false" hidden="false" localSheetId="5" name="_xlnm.Print_Titles" vbProcedure="false">'Not in Portal'!$1:$1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<sst xmlns="http://schemas.openxmlformats.org/spreadsheetml/2006/main" count="333" uniqueCount="176">
  <si>
    <t xml:space="preserve">GST Reconciliation Report</t>
  </si>
  <si>
    <t xml:space="preserve">Test Client · Aug 2026 · Run 17 · GSTIN 07AAACP9472A1ZJ</t>
  </si>
  <si>
    <t xml:space="preserve">Generated 26 Sep 2026 13:15 UTC</t>
  </si>
  <si>
    <t xml:space="preserve">Source files: 092026_07AAECM4521F1Z8_GSTR2B_TESTSET2.xlsx, PurchaseRegister_TESTSET2_MeridianTextiles.xlsx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</si>
  <si>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</si>
  <si>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</si>
  <si>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</si>
  <si>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</si>
  <si>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</si>
  <si>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</si>
  <si>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</si>
  <si>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</si>
  <si>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</si>
  <si>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</si>
  <si>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</si>
  <si>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</si>
  <si>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</si>
  <si>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</si>
  <si>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</si>
  <si>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</si>
  <si>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</si>
  <si>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</si>
  <si>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</si>
  <si>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</si>
  <si>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</si>
  <si>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Amount Difference</t>
  </si>
  <si>
    <t xml:space="preserve">Not in Books</t>
  </si>
  <si>
    <t xml:space="preserve">Not in Portal</t>
  </si>
  <si>
    <t xml:space="preserve">Total</t>
  </si>
  <si>
    <t xml:space="preserve">Data quality &amp; scope notes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</si>
  <si>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</si>
  <si>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</si>
  <si>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</si>
  <si>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</si>
  <si>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1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</si>
  <si>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</si>
  <si>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</si>
  <si>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</si>
  <si>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3 record(s) have no portal side</t>
  </si>
  <si>
    <t xml:space="preserve">These were seen only in the books, so no portal value could be compared.</t>
  </si>
  <si>
    <t xml:space="preserve">They may be unfiled supplier invoices, or invoices filed in a different period.</t>
  </si>
  <si>
    <t xml:space="preserve">Check whether the supplier has filed, or whether the invoice belongs to another period.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</si>
  <si>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</si>
  <si>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</si>
  <si>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</si>
  <si>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</si>
  <si>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2 credit note(s) in the portal file were not reconciled</t>
  </si>
  <si>
    <t xml:space="preserve">The portal file carries 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</si>
  <si>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</si>
  <si>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</si>
  <si>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20 portal document(s)</t>
  </si>
  <si>
    <t xml:space="preserve">IMS statuses on the supplied export: Accepted 18, Pending 1, Rejected 1.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</si>
  <si>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</si>
  <si>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</si>
  <si>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</si>
  <si>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092026_07AAECM4521F1Z8_GSTR2B_TESTSET2.xlsx, PurchaseRegister_TESTSET2_MeridianTextiles.xlsx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</si>
  <si>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</si>
  <si>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</si>
  <si>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</si>
  <si>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</si>
  <si>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</si>
  <si>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</si>
  <si>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</si>
  <si>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</si>
  <si>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</si>
  <si>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</si>
  <si>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</si>
  <si>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</si>
  <si>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</si>
  <si>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</si>
  <si>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</si>
  <si>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</si>
  <si>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</si>
  <si>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</si>
  <si>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</si>
  <si>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</si>
  <si>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RAJESH TEXTILE MILLS</t>
  </si>
  <si>
    <t xml:space="preserve">07AABCR1234F1Z2</t>
  </si>
  <si>
    <t xml:space="preserve">RTM/145</t>
  </si>
  <si>
    <t xml:space="preserve">18 Sep 2026</t>
  </si>
  <si>
    <t xml:space="preserve">Not reviewed</t>
  </si>
  <si>
    <t xml:space="preserve">High — 98%</t>
  </si>
  <si>
    <t xml:space="preserve">Matched on: GSTIN 07AABCR1234F1Z2, invoice RTM/145; taxable value, CGST, SGST, IGST and cess all agree.</t>
  </si>
  <si>
    <t xml:space="preserve">SUNRISE FABRICS PVT LTD</t>
  </si>
  <si>
    <t xml:space="preserve">24AABCS5678G1Z4</t>
  </si>
  <si>
    <t xml:space="preserve">SF-2291</t>
  </si>
  <si>
    <t xml:space="preserve">05 Sep 2026</t>
  </si>
  <si>
    <t xml:space="preserve">Matched on: GSTIN 24AABCS5678G1Z4, invoice SF-2291; taxable value, CGST, SGST, IGST and cess all agree.</t>
  </si>
  <si>
    <t xml:space="preserve">RTM/158</t>
  </si>
  <si>
    <t xml:space="preserve">22 Sep 2026</t>
  </si>
  <si>
    <t xml:space="preserve">Taxable Value Difference</t>
  </si>
  <si>
    <t xml:space="preserve">Matched on: GSTIN 07AABCR1234F1Z2, invoice RTM/158; Taxable Value Difference: books ₹34,500.00 vs portal ₹35,000.00, difference ₹500.00.</t>
  </si>
  <si>
    <t xml:space="preserve">SF-2305</t>
  </si>
  <si>
    <t xml:space="preserve">10 Sep 2026</t>
  </si>
  <si>
    <t xml:space="preserve">Tax Amount Difference</t>
  </si>
  <si>
    <t xml:space="preserve">Matched on: GSTIN 24AABCS5678G1Z4, invoice SF-2305; Tax Amount Difference: IGST: books ₹4,500.00 vs portal ₹9,000.00.</t>
  </si>
  <si>
    <t xml:space="preserve">OM TRADERS</t>
  </si>
  <si>
    <t xml:space="preserve">07AAAOP9012H1Z6</t>
  </si>
  <si>
    <t xml:space="preserve">OT/77</t>
  </si>
  <si>
    <t xml:space="preserve">12 Sep 2026</t>
  </si>
  <si>
    <t xml:space="preserve">Tax Split Mismatch</t>
  </si>
  <si>
    <t xml:space="preserve">Matched on: GSTIN 07AAAOP9012H1Z6, invoice OT/77; Tax Split Mismatch: total tax agrees at ₹3,600.00, but components differ — CGST: books ₹0.00 vs portal ₹1,800.00; SGST: books ₹0.00 vs portal ₹1,800.00; IGST: books ₹3,600.00 vs portal ₹0.00. Indicates a place-of-supply difference.</t>
  </si>
  <si>
    <t xml:space="preserve">RTM/162</t>
  </si>
  <si>
    <t xml:space="preserve">24 Sep 2026</t>
  </si>
  <si>
    <t xml:space="preserve">Matched on: GSTIN 07AABCR1234F1Z2, invoice RTM/162; Tax Amount Difference: CGST: books ₹1,350.00 vs portal ₹900.00; SGST: books ₹1,350.00 vs portal ₹900.00.</t>
  </si>
  <si>
    <t xml:space="preserve">DELHI TELECOM SERVICES LTD</t>
  </si>
  <si>
    <t xml:space="preserve">07AABCD3344E1Z9</t>
  </si>
  <si>
    <t xml:space="preserve">DTS/998877</t>
  </si>
  <si>
    <t xml:space="preserve">06 Sep 2026</t>
  </si>
  <si>
    <t xml:space="preserve">Matched on: GSTIN 07AABCD3344E1Z9, invoice DTS/998877; taxable value, CGST, SGST, IGST and cess all agree within ₹10.00.</t>
  </si>
  <si>
    <t xml:space="preserve">VIKAS ENTERPRISES</t>
  </si>
  <si>
    <t xml:space="preserve">07AABCV6789K1Z8</t>
  </si>
  <si>
    <t xml:space="preserve">VE-234</t>
  </si>
  <si>
    <t xml:space="preserve">14 Sep 2026</t>
  </si>
  <si>
    <t xml:space="preserve">Medium — 90%</t>
  </si>
  <si>
    <t xml:space="preserve">Matched on: GSTIN 07AABCV6789K1Z8, invoice 'VE-234' (books) / 'VE/26-27/0234' (portal); taxable value, CGST, SGST, IGST and cess all agree. after invoice number variance ('VE-234' in books, 'VE/26-27/0234' on portal)</t>
  </si>
  <si>
    <t xml:space="preserve">OT/85</t>
  </si>
  <si>
    <t xml:space="preserve">15 Sep 2026</t>
  </si>
  <si>
    <t xml:space="preserve">Matched on: GSTIN 07AAAOP9012H1Z6, invoice OT/85; taxable value, CGST, SGST, IGST and cess all agree.</t>
  </si>
  <si>
    <t xml:space="preserve">LEGAL CONSULTANTS &amp; ASSOCIATES</t>
  </si>
  <si>
    <t xml:space="preserve">07AABCL2222Q1Z5</t>
  </si>
  <si>
    <t xml:space="preserve">LC/44</t>
  </si>
  <si>
    <t xml:space="preserve">16 Sep 2026</t>
  </si>
  <si>
    <t xml:space="preserve">Matched on: GSTIN 07AABCL2222Q1Z5, invoice LC/44; taxable value, CGST, SGST, IGST and cess all agree.</t>
  </si>
  <si>
    <t xml:space="preserve">CELEBRATION CATERERS</t>
  </si>
  <si>
    <t xml:space="preserve">07AABCC3333R1Z7</t>
  </si>
  <si>
    <t xml:space="preserve">CC/12</t>
  </si>
  <si>
    <t xml:space="preserve">19 Sep 2026</t>
  </si>
  <si>
    <t xml:space="preserve">Matched on: GSTIN 07AABCC3333R1Z7, invoice CC/12; taxable value, CGST, SGST, IGST and cess all agree.</t>
  </si>
  <si>
    <t xml:space="preserve">SF-2318</t>
  </si>
  <si>
    <t xml:space="preserve">27 Sep 2026</t>
  </si>
  <si>
    <t xml:space="preserve">Matched on: GSTIN 24AABCS5678G1Z4, invoice SF-2318; taxable value, CGST, SGST, IGST and cess all agree.</t>
  </si>
  <si>
    <t xml:space="preserve">RTM/170</t>
  </si>
  <si>
    <t xml:space="preserve">29 Sep 2026</t>
  </si>
  <si>
    <t xml:space="preserve">Matched on: GSTIN 07AABCR1234F1Z2, invoice RTM/170; taxable value, CGST, SGST, IGST and cess all agree.</t>
  </si>
  <si>
    <t xml:space="preserve">OM TRADER'S</t>
  </si>
  <si>
    <t xml:space="preserve">07AAA0P9012H1Z6</t>
  </si>
  <si>
    <t xml:space="preserve">OT/91</t>
  </si>
  <si>
    <t xml:space="preserve">30 Sep 2026</t>
  </si>
  <si>
    <t xml:space="preserve">Medium — 65%</t>
  </si>
  <si>
    <t xml:space="preserve">Matched on party name and amount: GSTIN 07AAA0P9012H1Z6, invoice OT/91; taxable value, CGST, SGST, IGST and cess all agree. via fuzzy party name match (95%: 'OM TRADER'S' ↔ 'Om Traders') Note: GSTIN '07AAA0P9012H1Z6' does not match structural pattern.</t>
  </si>
  <si>
    <t xml:space="preserve">BRIGHT STAR TRADERS</t>
  </si>
  <si>
    <t xml:space="preserve">07AABCB9988S1Z</t>
  </si>
  <si>
    <t xml:space="preserve">BST/501</t>
  </si>
  <si>
    <t xml:space="preserve">Low — 60%</t>
  </si>
  <si>
    <t xml:space="preserve">Matched on party name and amount: GSTIN 07AABCB9988S1Z, invoice BST/501; taxable value, CGST, SGST, IGST and cess all agree. via fuzzy party name match (100%: 'BRIGHT STAR TRADERS' ↔ 'Bright Star Traders') Note: GSTIN '07AABCB9988S1Z' has 14 chars (expected 15).</t>
  </si>
  <si>
    <t xml:space="preserve">Duplicate in Books</t>
  </si>
  <si>
    <t xml:space="preserve">Low — 0%</t>
  </si>
  <si>
    <t xml:space="preserve">Not in Portal: GSTIN 07AAAOP9012H1Z6, invoice OT/85, ₹14,160.00 — no candidate in any pass, and no adjacent-period file was supplied to check for late filing. Duplicate in Books: this GSTIN + invoice number appears 2 times in the books, and one copy was already matched. This surplus copy is the additional ITC claim and is reported separately rather than compared a second time.</t>
  </si>
  <si>
    <t xml:space="preserve">GLOBAL LOGISTICS CO</t>
  </si>
  <si>
    <t xml:space="preserve">06AABCG3456L1Z9</t>
  </si>
  <si>
    <t xml:space="preserve">GL/551</t>
  </si>
  <si>
    <t xml:space="preserve">20 Sep 2026</t>
  </si>
  <si>
    <t xml:space="preserve">Not in Portal: GSTIN 06AABCG3456L1Z9, invoice GL/551, ₹33,040.00 — no candidate in any pass, and no adjacent-period file was supplied to check for late filing.</t>
  </si>
  <si>
    <t xml:space="preserve">VE-250</t>
  </si>
  <si>
    <t xml:space="preserve">Not in Portal: GSTIN 07AABCV6789K1Z8, invoice VE-250, ₹10,620.00 — no candidate in any pass, and no adjacent-period file was supplied to check for late filing.</t>
  </si>
  <si>
    <t xml:space="preserve">Prime Packaging Solutions</t>
  </si>
  <si>
    <t xml:space="preserve">07AABCP7890M1Z3</t>
  </si>
  <si>
    <t xml:space="preserve">PPS/912</t>
  </si>
  <si>
    <t xml:space="preserve">09 Sep 2026</t>
  </si>
  <si>
    <t xml:space="preserve">Not in Books: GSTIN 07AABCP7890M1Z3, invoice PPS/912, ₹11,210.00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</si>
  <si>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</si>
  <si>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</si>
  <si>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</si>
  <si>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</si>
  <si>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</si>
  <si>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</si>
  <si>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Sunrise Fabrics Pvt Ltd</t>
  </si>
  <si>
    <t xml:space="preserve">SF/CN/118</t>
  </si>
  <si>
    <t xml:space="preserve">Credit Note</t>
  </si>
  <si>
    <t xml:space="preserve">26 Sep 2026</t>
  </si>
  <si>
    <t xml:space="preserve">Yes</t>
  </si>
  <si>
    <t xml:space="preserve">No</t>
  </si>
  <si>
    <t xml:space="preserve">Rajesh Textile Mills</t>
  </si>
  <si>
    <t xml:space="preserve">RTM/CN/29</t>
  </si>
  <si>
    <t xml:space="preserve">28 Sep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</si>
</sst>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4F4EA"/>
        <bgColor rgb="FFEAF0FB"/>
      </patternFill>
    </fill>
    <fill>
      <patternFill patternType="solid">
        <fgColor rgb="FFFDF4E3"/>
        <bgColor rgb="FFFDEBEA"/>
      </patternFill>
    </fill>
    <fill>
      <patternFill patternType="solid">
        <fgColor rgb="FFEAF0FB"/>
        <bgColor rgb="FFE4F4EA"/>
      </patternFill>
    </fill>
    <fill>
      <patternFill patternType="solid">
        <fgColor rgb="FFFDEBEA"/>
        <bgColor rgb="FFFDF4E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0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4E3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D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data'!$L$2:$L$20,"&lt;&gt;Matched",'Master data'!$J$2:$J$20)</f>
        <v>31230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data'!$J$2:$J$20)</f>
        <v>74897.82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0.416968077308525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data'!$A$2:$A$20)</f>
        <v>19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data'!$L$2:$L$20,"Matched")</f>
        <v>11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data'!$A$2:$A$20)-COUNTIF('Master data'!$L$2:$L$20,"Matched")</f>
        <v>8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data'!$L$2:$L$20,"Not in Books")</f>
        <v>1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data'!$L$2:$L$20,"Not in Portal")</f>
        <v>3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data'!$L$2:$L$20,"Amount Difference")</f>
        <v>4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Notes'!$A$2:$A$3)</f>
        <v>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Notes'!$K$2:$K$3)</f>
        <v>972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data'!$L$2:$L$20,"&lt;&gt;Matched",'Master data'!$K$2:$K$20)</f>
        <v>209730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  <c r="D21" s="7" t="s">
        <v>24</v>
      </c>
    </row>
    <row r="22" customFormat="false" ht="15" hidden="false" customHeight="false" outlineLevel="0" collapsed="false">
      <c r="A22" s="0" t="s">
        <v>10</v>
      </c>
      <c r="B22" s="6" t="n">
        <f aca="false">COUNTIF('Master data'!$L$2:$L$20,"Matched")</f>
        <v>11</v>
      </c>
      <c r="C22" s="3" t="n">
        <f aca="false">SUMIF('Master data'!$L$2:$L$20,"Matched",'Master data'!$J$2:$J$20)</f>
        <v>43667.82</v>
      </c>
      <c r="D22" s="3" t="n">
        <f aca="false">SUMIF('Master data'!$L$2:$L$20,"Matched",'Master data'!$K$2:$K$20)</f>
        <v>286266.82</v>
      </c>
    </row>
    <row r="23" customFormat="false" ht="15" hidden="false" customHeight="false" outlineLevel="0" collapsed="false">
      <c r="A23" s="0" t="s">
        <v>25</v>
      </c>
      <c r="B23" s="6" t="n">
        <f aca="false">COUNTIF('Master data'!$L$2:$L$20,"Amount Difference")</f>
        <v>4</v>
      </c>
      <c r="C23" s="3" t="n">
        <f aca="false">SUMIF('Master data'!$L$2:$L$20,"Amount Difference",'Master data'!$J$2:$J$20)</f>
        <v>20700</v>
      </c>
      <c r="D23" s="3" t="n">
        <f aca="false">SUMIF('Master data'!$L$2:$L$20,"Amount Difference",'Master data'!$K$2:$K$20)</f>
        <v>140700</v>
      </c>
    </row>
    <row r="24" customFormat="false" ht="15" hidden="false" customHeight="false" outlineLevel="0" collapsed="false">
      <c r="A24" s="0" t="s">
        <v>26</v>
      </c>
      <c r="B24" s="6" t="n">
        <f aca="false">COUNTIF('Master data'!$L$2:$L$20,"Not in Books")</f>
        <v>1</v>
      </c>
      <c r="C24" s="3" t="n">
        <f aca="false">SUMIF('Master data'!$L$2:$L$20,"Not in Books",'Master data'!$J$2:$J$20)</f>
        <v>1710</v>
      </c>
      <c r="D24" s="3" t="n">
        <f aca="false">SUMIF('Master data'!$L$2:$L$20,"Not in Books",'Master data'!$K$2:$K$20)</f>
        <v>11210</v>
      </c>
    </row>
    <row r="25" customFormat="false" ht="15" hidden="false" customHeight="false" outlineLevel="0" collapsed="false">
      <c r="A25" s="0" t="s">
        <v>27</v>
      </c>
      <c r="B25" s="6" t="n">
        <f aca="false">COUNTIF('Master data'!$L$2:$L$20,"Not in Portal")</f>
        <v>3</v>
      </c>
      <c r="C25" s="3" t="n">
        <f aca="false">SUMIF('Master data'!$L$2:$L$20,"Not in Portal",'Master data'!$J$2:$J$20)</f>
        <v>8820</v>
      </c>
      <c r="D25" s="3" t="n">
        <f aca="false">SUMIF('Master data'!$L$2:$L$20,"Not in Portal",'Master data'!$K$2:$K$20)</f>
        <v>57820</v>
      </c>
    </row>
    <row r="26" customFormat="false" ht="15" hidden="false" customHeight="false" outlineLevel="0" collapsed="false">
      <c r="A26" s="2" t="s">
        <v>28</v>
      </c>
      <c r="B26" s="6" t="n">
        <f aca="false">SUM(B22:B25)</f>
        <v>19</v>
      </c>
      <c r="C26" s="3" t="n">
        <f aca="false">SUM(C22:C25)</f>
        <v>74897.82</v>
      </c>
      <c r="D26" s="3" t="n">
        <f aca="false">SUM(D22:D25)</f>
        <v>495996.82</v>
      </c>
    </row>
    <row r="28" customFormat="false" ht="15" hidden="false" customHeight="false" outlineLevel="0" collapsed="false">
      <c r="A28" s="2" t="s">
        <v>29</v>
      </c>
    </row>
    <row r="29" customFormat="false" ht="15" hidden="false" customHeight="false" outlineLevel="0" collapsed="false">
      <c r="A29" s="2" t="s">
        <v>30</v>
      </c>
    </row>
    <row r="30" customFormat="false" ht="31.3" hidden="false" customHeight="false" outlineLevel="0" collapsed="false">
      <c r="A30" s="8" t="s">
        <v>31</v>
      </c>
    </row>
    <row r="31" customFormat="false" ht="46.25" hidden="false" customHeight="false" outlineLevel="0" collapsed="false">
      <c r="A31" s="8" t="s">
        <v>32</v>
      </c>
    </row>
    <row r="32" customFormat="false" ht="31.3" hidden="false" customHeight="false" outlineLevel="0" collapsed="false">
      <c r="A32" s="8" t="s">
        <v>33</v>
      </c>
    </row>
    <row r="33" customFormat="false" ht="15" hidden="false" customHeight="false" outlineLevel="0" collapsed="false">
      <c r="A33" s="2" t="s">
        <v>34</v>
      </c>
    </row>
    <row r="34" customFormat="false" ht="31.3" hidden="false" customHeight="false" outlineLevel="0" collapsed="false">
      <c r="A34" s="8" t="s">
        <v>35</v>
      </c>
    </row>
    <row r="35" customFormat="false" ht="31.3" hidden="false" customHeight="false" outlineLevel="0" collapsed="false">
      <c r="A35" s="8" t="s">
        <v>36</v>
      </c>
    </row>
    <row r="36" customFormat="false" ht="31.3" hidden="false" customHeight="false" outlineLevel="0" collapsed="false">
      <c r="A36" s="8" t="s">
        <v>37</v>
      </c>
    </row>
    <row r="37" customFormat="false" ht="15" hidden="false" customHeight="false" outlineLevel="0" collapsed="false">
      <c r="A37" s="2" t="s">
        <v>38</v>
      </c>
    </row>
    <row r="38" customFormat="false" ht="31.3" hidden="false" customHeight="false" outlineLevel="0" collapsed="false">
      <c r="A38" s="8" t="s">
        <v>39</v>
      </c>
    </row>
    <row r="39" customFormat="false" ht="31.3" hidden="false" customHeight="false" outlineLevel="0" collapsed="false">
      <c r="A39" s="8" t="s">
        <v>40</v>
      </c>
    </row>
    <row r="40" customFormat="false" ht="31.3" hidden="false" customHeight="false" outlineLevel="0" collapsed="false">
      <c r="A40" s="8" t="s">
        <v>41</v>
      </c>
    </row>
    <row r="41" customFormat="false" ht="15" hidden="false" customHeight="false" outlineLevel="0" collapsed="false">
      <c r="A41" s="2" t="s">
        <v>42</v>
      </c>
    </row>
    <row r="42" customFormat="false" ht="46.25" hidden="false" customHeight="false" outlineLevel="0" collapsed="false">
      <c r="A42" s="8" t="s">
        <v>43</v>
      </c>
    </row>
    <row r="43" customFormat="false" ht="31.3" hidden="false" customHeight="false" outlineLevel="0" collapsed="false">
      <c r="A43" s="8" t="s">
        <v>44</v>
      </c>
    </row>
    <row r="44" customFormat="false" ht="31.3" hidden="false" customHeight="false" outlineLevel="0" collapsed="false">
      <c r="A44" s="8" t="s">
        <v>45</v>
      </c>
    </row>
    <row r="45" customFormat="false" ht="15" hidden="false" customHeight="false" outlineLevel="0" collapsed="false">
      <c r="A45" s="2" t="s">
        <v>46</v>
      </c>
    </row>
    <row r="46" customFormat="false" ht="76.1" hidden="false" customHeight="false" outlineLevel="0" collapsed="false">
      <c r="A46" s="8" t="s">
        <v>47</v>
      </c>
    </row>
    <row r="47" customFormat="false" ht="31.3" hidden="false" customHeight="false" outlineLevel="0" collapsed="false">
      <c r="A47" s="8" t="s">
        <v>48</v>
      </c>
    </row>
    <row r="48" customFormat="false" ht="46.25" hidden="false" customHeight="false" outlineLevel="0" collapsed="false">
      <c r="A48" s="8" t="s">
        <v>49</v>
      </c>
    </row>
    <row r="49" customFormat="false" ht="15" hidden="false" customHeight="false" outlineLevel="0" collapsed="false">
      <c r="A49" s="2" t="s">
        <v>50</v>
      </c>
    </row>
    <row r="50" customFormat="false" ht="61.15" hidden="false" customHeight="false" outlineLevel="0" collapsed="false">
      <c r="A50" s="8" t="s">
        <v>51</v>
      </c>
    </row>
    <row r="51" customFormat="false" ht="46.25" hidden="false" customHeight="false" outlineLevel="0" collapsed="false">
      <c r="A51" s="8" t="s">
        <v>52</v>
      </c>
    </row>
    <row r="52" customFormat="false" ht="46.25" hidden="false" customHeight="false" outlineLevel="0" collapsed="false">
      <c r="A52" s="8" t="s">
        <v>53</v>
      </c>
    </row>
    <row r="53" customFormat="false" ht="15" hidden="false" customHeight="false" outlineLevel="0" collapsed="false">
      <c r="A53" s="2" t="s">
        <v>54</v>
      </c>
    </row>
    <row r="54" customFormat="false" ht="31.3" hidden="false" customHeight="false" outlineLevel="0" collapsed="false">
      <c r="A54" s="8" t="s">
        <v>55</v>
      </c>
    </row>
    <row r="55" customFormat="false" ht="31.3" hidden="false" customHeight="false" outlineLevel="0" collapsed="false">
      <c r="A55" s="8" t="s">
        <v>56</v>
      </c>
    </row>
    <row r="56" customFormat="false" ht="16.4" hidden="false" customHeight="false" outlineLevel="0" collapsed="false">
      <c r="A56" s="8" t="s">
        <v>57</v>
      </c>
    </row>
    <row r="57" customFormat="false" ht="15" hidden="false" customHeight="false" outlineLevel="0" collapsed="false">
      <c r="A57" s="2" t="s">
        <v>58</v>
      </c>
    </row>
    <row r="58" customFormat="false" ht="31.3" hidden="false" customHeight="false" outlineLevel="0" collapsed="false">
      <c r="A58" s="8" t="s">
        <v>59</v>
      </c>
    </row>
    <row r="59" customFormat="false" ht="31.3" hidden="false" customHeight="false" outlineLevel="0" collapsed="false">
      <c r="A59" s="8" t="s">
        <v>60</v>
      </c>
    </row>
    <row r="60" customFormat="false" ht="31.3" hidden="false" customHeight="false" outlineLevel="0" collapsed="false">
      <c r="A60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23</v>
      </c>
      <c r="K1" s="7" t="s">
        <v>24</v>
      </c>
      <c r="L1" s="7" t="s">
        <v>21</v>
      </c>
      <c r="M1" s="7" t="s">
        <v>71</v>
      </c>
      <c r="N1" s="7" t="s">
        <v>72</v>
      </c>
      <c r="O1" s="7" t="s">
        <v>73</v>
      </c>
      <c r="P1" s="7" t="s">
        <v>74</v>
      </c>
      <c r="Q1" s="7" t="s">
        <v>75</v>
      </c>
    </row>
    <row r="2" customFormat="false" ht="61.15" hidden="false" customHeight="false" outlineLevel="0" collapsed="false">
      <c r="A2" s="9" t="s">
        <v>76</v>
      </c>
      <c r="B2" s="9" t="s">
        <v>77</v>
      </c>
      <c r="C2" s="9" t="s">
        <v>78</v>
      </c>
      <c r="D2" s="9" t="s">
        <v>79</v>
      </c>
      <c r="E2" s="10" t="n">
        <v>42000</v>
      </c>
      <c r="F2" s="10" t="n">
        <v>0</v>
      </c>
      <c r="G2" s="10" t="n">
        <v>3780</v>
      </c>
      <c r="H2" s="10" t="n">
        <v>3780</v>
      </c>
      <c r="I2" s="10" t="n">
        <v>0</v>
      </c>
      <c r="J2" s="10" t="n">
        <v>7560</v>
      </c>
      <c r="K2" s="10" t="n">
        <v>49560</v>
      </c>
      <c r="L2" s="9" t="s">
        <v>10</v>
      </c>
      <c r="M2" s="9" t="s">
        <v>80</v>
      </c>
      <c r="N2" s="9"/>
      <c r="O2" s="9" t="s">
        <v>81</v>
      </c>
      <c r="P2" s="11" t="s">
        <v>82</v>
      </c>
      <c r="Q2" s="0" t="str">
        <f aca="false">$L2&amp;"|"&amp;COUNTIF($L$2:$L2,$L2)</f>
        <v>Matched|1</v>
      </c>
    </row>
    <row r="3" customFormat="false" ht="61.15" hidden="false" customHeight="false" outlineLevel="0" collapsed="false">
      <c r="A3" s="9" t="s">
        <v>83</v>
      </c>
      <c r="B3" s="9" t="s">
        <v>84</v>
      </c>
      <c r="C3" s="9" t="s">
        <v>85</v>
      </c>
      <c r="D3" s="9" t="s">
        <v>86</v>
      </c>
      <c r="E3" s="10" t="n">
        <v>68000</v>
      </c>
      <c r="F3" s="10" t="n">
        <v>12240</v>
      </c>
      <c r="G3" s="10" t="n">
        <v>0</v>
      </c>
      <c r="H3" s="10" t="n">
        <v>0</v>
      </c>
      <c r="I3" s="10" t="n">
        <v>0</v>
      </c>
      <c r="J3" s="10" t="n">
        <v>12240</v>
      </c>
      <c r="K3" s="10" t="n">
        <v>80240</v>
      </c>
      <c r="L3" s="9" t="s">
        <v>10</v>
      </c>
      <c r="M3" s="9" t="s">
        <v>80</v>
      </c>
      <c r="N3" s="9"/>
      <c r="O3" s="9" t="s">
        <v>81</v>
      </c>
      <c r="P3" s="11" t="s">
        <v>87</v>
      </c>
      <c r="Q3" s="0" t="str">
        <f aca="false">$L3&amp;"|"&amp;COUNTIF($L$2:$L3,$L3)</f>
        <v>Matched|2</v>
      </c>
    </row>
    <row r="4" customFormat="false" ht="91" hidden="false" customHeight="false" outlineLevel="0" collapsed="false">
      <c r="A4" s="12" t="s">
        <v>76</v>
      </c>
      <c r="B4" s="12" t="s">
        <v>77</v>
      </c>
      <c r="C4" s="12" t="s">
        <v>88</v>
      </c>
      <c r="D4" s="12" t="s">
        <v>89</v>
      </c>
      <c r="E4" s="13" t="n">
        <v>35000</v>
      </c>
      <c r="F4" s="13" t="n">
        <v>0</v>
      </c>
      <c r="G4" s="13" t="n">
        <v>3150</v>
      </c>
      <c r="H4" s="13" t="n">
        <v>3150</v>
      </c>
      <c r="I4" s="13" t="n">
        <v>0</v>
      </c>
      <c r="J4" s="13" t="n">
        <v>6300</v>
      </c>
      <c r="K4" s="13" t="n">
        <v>41300</v>
      </c>
      <c r="L4" s="12" t="s">
        <v>25</v>
      </c>
      <c r="M4" s="12" t="s">
        <v>80</v>
      </c>
      <c r="N4" s="12" t="s">
        <v>90</v>
      </c>
      <c r="O4" s="12" t="s">
        <v>81</v>
      </c>
      <c r="P4" s="14" t="s">
        <v>91</v>
      </c>
      <c r="Q4" s="0" t="str">
        <f aca="false">$L4&amp;"|"&amp;COUNTIF($L$2:$L4,$L4)</f>
        <v>Amount Difference|1</v>
      </c>
    </row>
    <row r="5" customFormat="false" ht="76.1" hidden="false" customHeight="false" outlineLevel="0" collapsed="false">
      <c r="A5" s="12" t="s">
        <v>83</v>
      </c>
      <c r="B5" s="12" t="s">
        <v>84</v>
      </c>
      <c r="C5" s="12" t="s">
        <v>92</v>
      </c>
      <c r="D5" s="12" t="s">
        <v>93</v>
      </c>
      <c r="E5" s="13" t="n">
        <v>50000</v>
      </c>
      <c r="F5" s="13" t="n">
        <v>9000</v>
      </c>
      <c r="G5" s="13" t="n">
        <v>0</v>
      </c>
      <c r="H5" s="13" t="n">
        <v>0</v>
      </c>
      <c r="I5" s="13" t="n">
        <v>0</v>
      </c>
      <c r="J5" s="13" t="n">
        <v>9000</v>
      </c>
      <c r="K5" s="13" t="n">
        <v>59000</v>
      </c>
      <c r="L5" s="12" t="s">
        <v>25</v>
      </c>
      <c r="M5" s="12" t="s">
        <v>80</v>
      </c>
      <c r="N5" s="12" t="s">
        <v>94</v>
      </c>
      <c r="O5" s="12" t="s">
        <v>81</v>
      </c>
      <c r="P5" s="14" t="s">
        <v>95</v>
      </c>
      <c r="Q5" s="0" t="str">
        <f aca="false">$L5&amp;"|"&amp;COUNTIF($L$2:$L5,$L5)</f>
        <v>Amount Difference|2</v>
      </c>
    </row>
    <row r="6" customFormat="false" ht="150.7" hidden="false" customHeight="false" outlineLevel="0" collapsed="false">
      <c r="A6" s="12" t="s">
        <v>96</v>
      </c>
      <c r="B6" s="12" t="s">
        <v>97</v>
      </c>
      <c r="C6" s="12" t="s">
        <v>98</v>
      </c>
      <c r="D6" s="12" t="s">
        <v>99</v>
      </c>
      <c r="E6" s="13" t="n">
        <v>20000</v>
      </c>
      <c r="F6" s="13" t="n">
        <v>0</v>
      </c>
      <c r="G6" s="13" t="n">
        <v>1800</v>
      </c>
      <c r="H6" s="13" t="n">
        <v>1800</v>
      </c>
      <c r="I6" s="13" t="n">
        <v>0</v>
      </c>
      <c r="J6" s="13" t="n">
        <v>3600</v>
      </c>
      <c r="K6" s="13" t="n">
        <v>23600</v>
      </c>
      <c r="L6" s="12" t="s">
        <v>25</v>
      </c>
      <c r="M6" s="12" t="s">
        <v>80</v>
      </c>
      <c r="N6" s="12" t="s">
        <v>100</v>
      </c>
      <c r="O6" s="12" t="s">
        <v>81</v>
      </c>
      <c r="P6" s="14" t="s">
        <v>101</v>
      </c>
      <c r="Q6" s="0" t="str">
        <f aca="false">$L6&amp;"|"&amp;COUNTIF($L$2:$L6,$L6)</f>
        <v>Amount Difference|3</v>
      </c>
    </row>
    <row r="7" customFormat="false" ht="91" hidden="false" customHeight="false" outlineLevel="0" collapsed="false">
      <c r="A7" s="12" t="s">
        <v>76</v>
      </c>
      <c r="B7" s="12" t="s">
        <v>77</v>
      </c>
      <c r="C7" s="12" t="s">
        <v>102</v>
      </c>
      <c r="D7" s="12" t="s">
        <v>103</v>
      </c>
      <c r="E7" s="13" t="n">
        <v>15000</v>
      </c>
      <c r="F7" s="13" t="n">
        <v>0</v>
      </c>
      <c r="G7" s="13" t="n">
        <v>900</v>
      </c>
      <c r="H7" s="13" t="n">
        <v>900</v>
      </c>
      <c r="I7" s="13" t="n">
        <v>0</v>
      </c>
      <c r="J7" s="13" t="n">
        <v>1800</v>
      </c>
      <c r="K7" s="13" t="n">
        <v>16800</v>
      </c>
      <c r="L7" s="12" t="s">
        <v>25</v>
      </c>
      <c r="M7" s="12" t="s">
        <v>80</v>
      </c>
      <c r="N7" s="12" t="s">
        <v>94</v>
      </c>
      <c r="O7" s="12" t="s">
        <v>81</v>
      </c>
      <c r="P7" s="14" t="s">
        <v>104</v>
      </c>
      <c r="Q7" s="0" t="str">
        <f aca="false">$L7&amp;"|"&amp;COUNTIF($L$2:$L7,$L7)</f>
        <v>Amount Difference|4</v>
      </c>
    </row>
    <row r="8" customFormat="false" ht="76.1" hidden="false" customHeight="false" outlineLevel="0" collapsed="false">
      <c r="A8" s="9" t="s">
        <v>105</v>
      </c>
      <c r="B8" s="9" t="s">
        <v>106</v>
      </c>
      <c r="C8" s="9" t="s">
        <v>107</v>
      </c>
      <c r="D8" s="9" t="s">
        <v>108</v>
      </c>
      <c r="E8" s="10" t="n">
        <v>599</v>
      </c>
      <c r="F8" s="10" t="n">
        <v>0</v>
      </c>
      <c r="G8" s="10" t="n">
        <v>53.91</v>
      </c>
      <c r="H8" s="10" t="n">
        <v>53.91</v>
      </c>
      <c r="I8" s="10" t="n">
        <v>0</v>
      </c>
      <c r="J8" s="10" t="n">
        <v>107.82</v>
      </c>
      <c r="K8" s="10" t="n">
        <v>706.82</v>
      </c>
      <c r="L8" s="9" t="s">
        <v>10</v>
      </c>
      <c r="M8" s="9" t="s">
        <v>80</v>
      </c>
      <c r="N8" s="9"/>
      <c r="O8" s="9" t="s">
        <v>81</v>
      </c>
      <c r="P8" s="11" t="s">
        <v>109</v>
      </c>
      <c r="Q8" s="0" t="str">
        <f aca="false">$L8&amp;"|"&amp;COUNTIF($L$2:$L8,$L8)</f>
        <v>Matched|3</v>
      </c>
    </row>
    <row r="9" customFormat="false" ht="120.85" hidden="false" customHeight="false" outlineLevel="0" collapsed="false">
      <c r="A9" s="9" t="s">
        <v>110</v>
      </c>
      <c r="B9" s="9" t="s">
        <v>111</v>
      </c>
      <c r="C9" s="9" t="s">
        <v>112</v>
      </c>
      <c r="D9" s="9" t="s">
        <v>113</v>
      </c>
      <c r="E9" s="10" t="n">
        <v>18000</v>
      </c>
      <c r="F9" s="10" t="n">
        <v>0</v>
      </c>
      <c r="G9" s="10" t="n">
        <v>1620</v>
      </c>
      <c r="H9" s="10" t="n">
        <v>1620</v>
      </c>
      <c r="I9" s="10" t="n">
        <v>0</v>
      </c>
      <c r="J9" s="10" t="n">
        <v>3240</v>
      </c>
      <c r="K9" s="10" t="n">
        <v>21240</v>
      </c>
      <c r="L9" s="9" t="s">
        <v>10</v>
      </c>
      <c r="M9" s="9" t="s">
        <v>80</v>
      </c>
      <c r="N9" s="9"/>
      <c r="O9" s="9" t="s">
        <v>114</v>
      </c>
      <c r="P9" s="11" t="s">
        <v>115</v>
      </c>
      <c r="Q9" s="0" t="str">
        <f aca="false">$L9&amp;"|"&amp;COUNTIF($L$2:$L9,$L9)</f>
        <v>Matched|4</v>
      </c>
    </row>
    <row r="10" customFormat="false" ht="61.15" hidden="false" customHeight="false" outlineLevel="0" collapsed="false">
      <c r="A10" s="9" t="s">
        <v>96</v>
      </c>
      <c r="B10" s="9" t="s">
        <v>97</v>
      </c>
      <c r="C10" s="9" t="s">
        <v>116</v>
      </c>
      <c r="D10" s="9" t="s">
        <v>117</v>
      </c>
      <c r="E10" s="10" t="n">
        <v>12000</v>
      </c>
      <c r="F10" s="10" t="n">
        <v>0</v>
      </c>
      <c r="G10" s="10" t="n">
        <v>1080</v>
      </c>
      <c r="H10" s="10" t="n">
        <v>1080</v>
      </c>
      <c r="I10" s="10" t="n">
        <v>0</v>
      </c>
      <c r="J10" s="10" t="n">
        <v>2160</v>
      </c>
      <c r="K10" s="10" t="n">
        <v>14160</v>
      </c>
      <c r="L10" s="9" t="s">
        <v>10</v>
      </c>
      <c r="M10" s="9" t="s">
        <v>80</v>
      </c>
      <c r="N10" s="9"/>
      <c r="O10" s="9" t="s">
        <v>81</v>
      </c>
      <c r="P10" s="11" t="s">
        <v>118</v>
      </c>
      <c r="Q10" s="0" t="str">
        <f aca="false">$L10&amp;"|"&amp;COUNTIF($L$2:$L10,$L10)</f>
        <v>Matched|5</v>
      </c>
    </row>
    <row r="11" customFormat="false" ht="61.15" hidden="false" customHeight="false" outlineLevel="0" collapsed="false">
      <c r="A11" s="9" t="s">
        <v>119</v>
      </c>
      <c r="B11" s="9" t="s">
        <v>120</v>
      </c>
      <c r="C11" s="9" t="s">
        <v>121</v>
      </c>
      <c r="D11" s="9" t="s">
        <v>122</v>
      </c>
      <c r="E11" s="10" t="n">
        <v>25000</v>
      </c>
      <c r="F11" s="10" t="n">
        <v>0</v>
      </c>
      <c r="G11" s="10" t="n">
        <v>2250</v>
      </c>
      <c r="H11" s="10" t="n">
        <v>2250</v>
      </c>
      <c r="I11" s="10" t="n">
        <v>0</v>
      </c>
      <c r="J11" s="10" t="n">
        <v>4500</v>
      </c>
      <c r="K11" s="10" t="n">
        <v>29500</v>
      </c>
      <c r="L11" s="9" t="s">
        <v>10</v>
      </c>
      <c r="M11" s="9" t="s">
        <v>80</v>
      </c>
      <c r="N11" s="9"/>
      <c r="O11" s="9" t="s">
        <v>81</v>
      </c>
      <c r="P11" s="11" t="s">
        <v>123</v>
      </c>
      <c r="Q11" s="0" t="str">
        <f aca="false">$L11&amp;"|"&amp;COUNTIF($L$2:$L11,$L11)</f>
        <v>Matched|6</v>
      </c>
    </row>
    <row r="12" customFormat="false" ht="61.15" hidden="false" customHeight="false" outlineLevel="0" collapsed="false">
      <c r="A12" s="9" t="s">
        <v>124</v>
      </c>
      <c r="B12" s="9" t="s">
        <v>125</v>
      </c>
      <c r="C12" s="9" t="s">
        <v>126</v>
      </c>
      <c r="D12" s="9" t="s">
        <v>127</v>
      </c>
      <c r="E12" s="10" t="n">
        <v>8000</v>
      </c>
      <c r="F12" s="10" t="n">
        <v>0</v>
      </c>
      <c r="G12" s="10" t="n">
        <v>720</v>
      </c>
      <c r="H12" s="10" t="n">
        <v>720</v>
      </c>
      <c r="I12" s="10" t="n">
        <v>0</v>
      </c>
      <c r="J12" s="10" t="n">
        <v>1440</v>
      </c>
      <c r="K12" s="10" t="n">
        <v>9440</v>
      </c>
      <c r="L12" s="9" t="s">
        <v>10</v>
      </c>
      <c r="M12" s="9" t="s">
        <v>80</v>
      </c>
      <c r="N12" s="9"/>
      <c r="O12" s="9" t="s">
        <v>81</v>
      </c>
      <c r="P12" s="11" t="s">
        <v>128</v>
      </c>
      <c r="Q12" s="0" t="str">
        <f aca="false">$L12&amp;"|"&amp;COUNTIF($L$2:$L12,$L12)</f>
        <v>Matched|7</v>
      </c>
    </row>
    <row r="13" customFormat="false" ht="61.15" hidden="false" customHeight="false" outlineLevel="0" collapsed="false">
      <c r="A13" s="9" t="s">
        <v>83</v>
      </c>
      <c r="B13" s="9" t="s">
        <v>84</v>
      </c>
      <c r="C13" s="9" t="s">
        <v>129</v>
      </c>
      <c r="D13" s="9" t="s">
        <v>130</v>
      </c>
      <c r="E13" s="10" t="n">
        <v>30000</v>
      </c>
      <c r="F13" s="10" t="n">
        <v>5400</v>
      </c>
      <c r="G13" s="10" t="n">
        <v>0</v>
      </c>
      <c r="H13" s="10" t="n">
        <v>0</v>
      </c>
      <c r="I13" s="10" t="n">
        <v>0</v>
      </c>
      <c r="J13" s="10" t="n">
        <v>5400</v>
      </c>
      <c r="K13" s="10" t="n">
        <v>35400</v>
      </c>
      <c r="L13" s="9" t="s">
        <v>10</v>
      </c>
      <c r="M13" s="9" t="s">
        <v>80</v>
      </c>
      <c r="N13" s="9"/>
      <c r="O13" s="9" t="s">
        <v>81</v>
      </c>
      <c r="P13" s="11" t="s">
        <v>131</v>
      </c>
      <c r="Q13" s="0" t="str">
        <f aca="false">$L13&amp;"|"&amp;COUNTIF($L$2:$L13,$L13)</f>
        <v>Matched|8</v>
      </c>
    </row>
    <row r="14" customFormat="false" ht="61.15" hidden="false" customHeight="false" outlineLevel="0" collapsed="false">
      <c r="A14" s="9" t="s">
        <v>76</v>
      </c>
      <c r="B14" s="9" t="s">
        <v>77</v>
      </c>
      <c r="C14" s="9" t="s">
        <v>132</v>
      </c>
      <c r="D14" s="9" t="s">
        <v>133</v>
      </c>
      <c r="E14" s="10" t="n">
        <v>22000</v>
      </c>
      <c r="F14" s="10" t="n">
        <v>0</v>
      </c>
      <c r="G14" s="10" t="n">
        <v>1980</v>
      </c>
      <c r="H14" s="10" t="n">
        <v>1980</v>
      </c>
      <c r="I14" s="10" t="n">
        <v>0</v>
      </c>
      <c r="J14" s="10" t="n">
        <v>3960</v>
      </c>
      <c r="K14" s="10" t="n">
        <v>25960</v>
      </c>
      <c r="L14" s="9" t="s">
        <v>10</v>
      </c>
      <c r="M14" s="9" t="s">
        <v>80</v>
      </c>
      <c r="N14" s="9"/>
      <c r="O14" s="9" t="s">
        <v>81</v>
      </c>
      <c r="P14" s="11" t="s">
        <v>134</v>
      </c>
      <c r="Q14" s="0" t="str">
        <f aca="false">$L14&amp;"|"&amp;COUNTIF($L$2:$L14,$L14)</f>
        <v>Matched|9</v>
      </c>
    </row>
    <row r="15" customFormat="false" ht="135.8" hidden="false" customHeight="false" outlineLevel="0" collapsed="false">
      <c r="A15" s="9" t="s">
        <v>135</v>
      </c>
      <c r="B15" s="9" t="s">
        <v>136</v>
      </c>
      <c r="C15" s="9" t="s">
        <v>137</v>
      </c>
      <c r="D15" s="9" t="s">
        <v>138</v>
      </c>
      <c r="E15" s="10" t="n">
        <v>6000</v>
      </c>
      <c r="F15" s="10" t="n">
        <v>0</v>
      </c>
      <c r="G15" s="10" t="n">
        <v>540</v>
      </c>
      <c r="H15" s="10" t="n">
        <v>540</v>
      </c>
      <c r="I15" s="10" t="n">
        <v>0</v>
      </c>
      <c r="J15" s="10" t="n">
        <v>1080</v>
      </c>
      <c r="K15" s="10" t="n">
        <v>7080</v>
      </c>
      <c r="L15" s="9" t="s">
        <v>10</v>
      </c>
      <c r="M15" s="9" t="s">
        <v>80</v>
      </c>
      <c r="N15" s="9"/>
      <c r="O15" s="9" t="s">
        <v>139</v>
      </c>
      <c r="P15" s="11" t="s">
        <v>140</v>
      </c>
      <c r="Q15" s="0" t="str">
        <f aca="false">$L15&amp;"|"&amp;COUNTIF($L$2:$L15,$L15)</f>
        <v>Matched|10</v>
      </c>
    </row>
    <row r="16" customFormat="false" ht="135.8" hidden="false" customHeight="false" outlineLevel="0" collapsed="false">
      <c r="A16" s="9" t="s">
        <v>141</v>
      </c>
      <c r="B16" s="9" t="s">
        <v>142</v>
      </c>
      <c r="C16" s="9" t="s">
        <v>143</v>
      </c>
      <c r="D16" s="9" t="s">
        <v>89</v>
      </c>
      <c r="E16" s="10" t="n">
        <v>11000</v>
      </c>
      <c r="F16" s="10" t="n">
        <v>0</v>
      </c>
      <c r="G16" s="10" t="n">
        <v>990</v>
      </c>
      <c r="H16" s="10" t="n">
        <v>990</v>
      </c>
      <c r="I16" s="10" t="n">
        <v>0</v>
      </c>
      <c r="J16" s="10" t="n">
        <v>1980</v>
      </c>
      <c r="K16" s="10" t="n">
        <v>12980</v>
      </c>
      <c r="L16" s="9" t="s">
        <v>10</v>
      </c>
      <c r="M16" s="9" t="s">
        <v>80</v>
      </c>
      <c r="N16" s="9"/>
      <c r="O16" s="9" t="s">
        <v>144</v>
      </c>
      <c r="P16" s="11" t="s">
        <v>145</v>
      </c>
      <c r="Q16" s="0" t="str">
        <f aca="false">$L16&amp;"|"&amp;COUNTIF($L$2:$L16,$L16)</f>
        <v>Matched|11</v>
      </c>
    </row>
    <row r="17" customFormat="false" ht="195.5" hidden="false" customHeight="false" outlineLevel="0" collapsed="false">
      <c r="A17" s="15" t="s">
        <v>96</v>
      </c>
      <c r="B17" s="15" t="s">
        <v>97</v>
      </c>
      <c r="C17" s="15" t="s">
        <v>116</v>
      </c>
      <c r="D17" s="15" t="s">
        <v>117</v>
      </c>
      <c r="E17" s="16" t="n">
        <v>12000</v>
      </c>
      <c r="F17" s="16" t="n">
        <v>0</v>
      </c>
      <c r="G17" s="16" t="n">
        <v>1080</v>
      </c>
      <c r="H17" s="16" t="n">
        <v>1080</v>
      </c>
      <c r="I17" s="16" t="n">
        <v>0</v>
      </c>
      <c r="J17" s="16" t="n">
        <v>2160</v>
      </c>
      <c r="K17" s="16" t="n">
        <v>14160</v>
      </c>
      <c r="L17" s="15" t="s">
        <v>27</v>
      </c>
      <c r="M17" s="15" t="s">
        <v>80</v>
      </c>
      <c r="N17" s="15" t="s">
        <v>146</v>
      </c>
      <c r="O17" s="15" t="s">
        <v>147</v>
      </c>
      <c r="P17" s="17" t="s">
        <v>148</v>
      </c>
      <c r="Q17" s="0" t="str">
        <f aca="false">$L17&amp;"|"&amp;COUNTIF($L$2:$L17,$L17)</f>
        <v>Not in Portal|1</v>
      </c>
    </row>
    <row r="18" customFormat="false" ht="91" hidden="false" customHeight="false" outlineLevel="0" collapsed="false">
      <c r="A18" s="15" t="s">
        <v>149</v>
      </c>
      <c r="B18" s="15" t="s">
        <v>150</v>
      </c>
      <c r="C18" s="15" t="s">
        <v>151</v>
      </c>
      <c r="D18" s="15" t="s">
        <v>152</v>
      </c>
      <c r="E18" s="16" t="n">
        <v>28000</v>
      </c>
      <c r="F18" s="16" t="n">
        <v>5040</v>
      </c>
      <c r="G18" s="16" t="n">
        <v>0</v>
      </c>
      <c r="H18" s="16" t="n">
        <v>0</v>
      </c>
      <c r="I18" s="16" t="n">
        <v>0</v>
      </c>
      <c r="J18" s="16" t="n">
        <v>5040</v>
      </c>
      <c r="K18" s="16" t="n">
        <v>33040</v>
      </c>
      <c r="L18" s="15" t="s">
        <v>27</v>
      </c>
      <c r="M18" s="15" t="s">
        <v>80</v>
      </c>
      <c r="N18" s="15"/>
      <c r="O18" s="15" t="s">
        <v>147</v>
      </c>
      <c r="P18" s="17" t="s">
        <v>153</v>
      </c>
      <c r="Q18" s="0" t="str">
        <f aca="false">$L18&amp;"|"&amp;COUNTIF($L$2:$L18,$L18)</f>
        <v>Not in Portal|2</v>
      </c>
    </row>
    <row r="19" customFormat="false" ht="91" hidden="false" customHeight="false" outlineLevel="0" collapsed="false">
      <c r="A19" s="15" t="s">
        <v>110</v>
      </c>
      <c r="B19" s="15" t="s">
        <v>111</v>
      </c>
      <c r="C19" s="15" t="s">
        <v>154</v>
      </c>
      <c r="D19" s="15" t="s">
        <v>79</v>
      </c>
      <c r="E19" s="16" t="n">
        <v>9000</v>
      </c>
      <c r="F19" s="16" t="n">
        <v>0</v>
      </c>
      <c r="G19" s="16" t="n">
        <v>810</v>
      </c>
      <c r="H19" s="16" t="n">
        <v>810</v>
      </c>
      <c r="I19" s="16" t="n">
        <v>0</v>
      </c>
      <c r="J19" s="16" t="n">
        <v>1620</v>
      </c>
      <c r="K19" s="16" t="n">
        <v>10620</v>
      </c>
      <c r="L19" s="15" t="s">
        <v>27</v>
      </c>
      <c r="M19" s="15" t="s">
        <v>80</v>
      </c>
      <c r="N19" s="15"/>
      <c r="O19" s="15" t="s">
        <v>147</v>
      </c>
      <c r="P19" s="17" t="s">
        <v>155</v>
      </c>
      <c r="Q19" s="0" t="str">
        <f aca="false">$L19&amp;"|"&amp;COUNTIF($L$2:$L19,$L19)</f>
        <v>Not in Portal|3</v>
      </c>
    </row>
    <row r="20" customFormat="false" ht="76.1" hidden="false" customHeight="false" outlineLevel="0" collapsed="false">
      <c r="A20" s="18" t="s">
        <v>156</v>
      </c>
      <c r="B20" s="18" t="s">
        <v>157</v>
      </c>
      <c r="C20" s="18" t="s">
        <v>158</v>
      </c>
      <c r="D20" s="18" t="s">
        <v>159</v>
      </c>
      <c r="E20" s="19" t="n">
        <v>9500</v>
      </c>
      <c r="F20" s="19" t="n">
        <v>0</v>
      </c>
      <c r="G20" s="19" t="n">
        <v>855</v>
      </c>
      <c r="H20" s="19" t="n">
        <v>855</v>
      </c>
      <c r="I20" s="19" t="n">
        <v>0</v>
      </c>
      <c r="J20" s="19" t="n">
        <v>1710</v>
      </c>
      <c r="K20" s="19" t="n">
        <v>11210</v>
      </c>
      <c r="L20" s="18" t="s">
        <v>26</v>
      </c>
      <c r="M20" s="18" t="s">
        <v>80</v>
      </c>
      <c r="N20" s="18"/>
      <c r="O20" s="18" t="s">
        <v>147</v>
      </c>
      <c r="P20" s="20" t="s">
        <v>160</v>
      </c>
      <c r="Q20" s="0" t="str">
        <f aca="false">$L20&amp;"|"&amp;COUNTIF($L$2:$L20,$L20)</f>
        <v>Not in Books|1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23</v>
      </c>
      <c r="K1" s="7" t="s">
        <v>24</v>
      </c>
      <c r="L1" s="7" t="s">
        <v>21</v>
      </c>
      <c r="M1" s="7" t="s">
        <v>71</v>
      </c>
      <c r="N1" s="7" t="s">
        <v>72</v>
      </c>
      <c r="O1" s="7" t="s">
        <v>73</v>
      </c>
      <c r="P1" s="7" t="s">
        <v>74</v>
      </c>
    </row>
    <row r="2" customFormat="false" ht="61.15" hidden="false" customHeight="false" outlineLevel="0" collapsed="false">
      <c r="A2" s="9" t="str">
        <f aca="false">IFERROR(INDEX('Master data'!A$2:A$20,MATCH("Matched|"&amp;(ROW()-1),'Master data'!$Q$2:$Q$20,0)),"")</f>
        <v>RAJESH TEXTILE MILLS</v>
      </c>
      <c r="B2" s="9" t="str">
        <f aca="false">IFERROR(INDEX('Master data'!B$2:B$20,MATCH("Matched|"&amp;(ROW()-1),'Master data'!$Q$2:$Q$20,0)),"")</f>
        <v>07AABCR1234F1Z2</v>
      </c>
      <c r="C2" s="9" t="str">
        <f aca="false">IFERROR(INDEX('Master data'!C$2:C$20,MATCH("Matched|"&amp;(ROW()-1),'Master data'!$Q$2:$Q$20,0)),"")</f>
        <v>RTM/145</v>
      </c>
      <c r="D2" s="9" t="str">
        <f aca="false">IFERROR(INDEX('Master data'!D$2:D$20,MATCH("Matched|"&amp;(ROW()-1),'Master data'!$Q$2:$Q$20,0)),"")</f>
        <v>18 Sep 2026</v>
      </c>
      <c r="E2" s="10" t="n">
        <f aca="false">IFERROR(INDEX('Master data'!E$2:E$20,MATCH("Matched|"&amp;(ROW()-1),'Master data'!$Q$2:$Q$20,0)),"")</f>
        <v>42000</v>
      </c>
      <c r="F2" s="10" t="n">
        <f aca="false">IFERROR(INDEX('Master data'!F$2:F$20,MATCH("Matched|"&amp;(ROW()-1),'Master data'!$Q$2:$Q$20,0)),"")</f>
        <v>0</v>
      </c>
      <c r="G2" s="10" t="n">
        <f aca="false">IFERROR(INDEX('Master data'!G$2:G$20,MATCH("Matched|"&amp;(ROW()-1),'Master data'!$Q$2:$Q$20,0)),"")</f>
        <v>3780</v>
      </c>
      <c r="H2" s="10" t="n">
        <f aca="false">IFERROR(INDEX('Master data'!H$2:H$20,MATCH("Matched|"&amp;(ROW()-1),'Master data'!$Q$2:$Q$20,0)),"")</f>
        <v>3780</v>
      </c>
      <c r="I2" s="10" t="n">
        <f aca="false">IFERROR(INDEX('Master data'!I$2:I$20,MATCH("Matched|"&amp;(ROW()-1),'Master data'!$Q$2:$Q$20,0)),"")</f>
        <v>0</v>
      </c>
      <c r="J2" s="10" t="n">
        <f aca="false">IFERROR(INDEX('Master data'!J$2:J$20,MATCH("Matched|"&amp;(ROW()-1),'Master data'!$Q$2:$Q$20,0)),"")</f>
        <v>7560</v>
      </c>
      <c r="K2" s="10" t="n">
        <f aca="false">IFERROR(INDEX('Master data'!K$2:K$20,MATCH("Matched|"&amp;(ROW()-1),'Master data'!$Q$2:$Q$20,0)),"")</f>
        <v>49560</v>
      </c>
      <c r="L2" s="9" t="str">
        <f aca="false">IFERROR(INDEX('Master data'!L$2:L$20,MATCH("Matched|"&amp;(ROW()-1),'Master data'!$Q$2:$Q$20,0)),"")</f>
        <v>Matched</v>
      </c>
      <c r="M2" s="9" t="str">
        <f aca="false">IFERROR(INDEX('Master data'!M$2:M$20,MATCH("Matched|"&amp;(ROW()-1),'Master data'!$Q$2:$Q$20,0)),"")</f>
        <v>Not reviewed</v>
      </c>
      <c r="N2" s="9" t="n">
        <f aca="false">IFERROR(INDEX('Master data'!N$2:N$20,MATCH("Matched|"&amp;(ROW()-1),'Master data'!$Q$2:$Q$20,0)),"")</f>
        <v>0</v>
      </c>
      <c r="O2" s="9" t="str">
        <f aca="false">IFERROR(INDEX('Master data'!O$2:O$20,MATCH("Matched|"&amp;(ROW()-1),'Master data'!$Q$2:$Q$20,0)),"")</f>
        <v>High — 98%</v>
      </c>
      <c r="P2" s="11" t="str">
        <f aca="false">IFERROR(INDEX('Master data'!P$2:P$20,MATCH("Matched|"&amp;(ROW()-1),'Master data'!$Q$2:$Q$20,0)),"")</f>
        <v>Matched on: GSTIN 07AABCR1234F1Z2, invoice RTM/145; taxable value, CGST, SGST, IGST and cess all agree.</v>
      </c>
    </row>
    <row r="3" customFormat="false" ht="61.15" hidden="false" customHeight="false" outlineLevel="0" collapsed="false">
      <c r="A3" s="9" t="str">
        <f aca="false">IFERROR(INDEX('Master data'!A$2:A$20,MATCH("Matched|"&amp;(ROW()-1),'Master data'!$Q$2:$Q$20,0)),"")</f>
        <v>SUNRISE FABRICS PVT LTD</v>
      </c>
      <c r="B3" s="9" t="str">
        <f aca="false">IFERROR(INDEX('Master data'!B$2:B$20,MATCH("Matched|"&amp;(ROW()-1),'Master data'!$Q$2:$Q$20,0)),"")</f>
        <v>24AABCS5678G1Z4</v>
      </c>
      <c r="C3" s="9" t="str">
        <f aca="false">IFERROR(INDEX('Master data'!C$2:C$20,MATCH("Matched|"&amp;(ROW()-1),'Master data'!$Q$2:$Q$20,0)),"")</f>
        <v>SF-2291</v>
      </c>
      <c r="D3" s="9" t="str">
        <f aca="false">IFERROR(INDEX('Master data'!D$2:D$20,MATCH("Matched|"&amp;(ROW()-1),'Master data'!$Q$2:$Q$20,0)),"")</f>
        <v>05 Sep 2026</v>
      </c>
      <c r="E3" s="10" t="n">
        <f aca="false">IFERROR(INDEX('Master data'!E$2:E$20,MATCH("Matched|"&amp;(ROW()-1),'Master data'!$Q$2:$Q$20,0)),"")</f>
        <v>68000</v>
      </c>
      <c r="F3" s="10" t="n">
        <f aca="false">IFERROR(INDEX('Master data'!F$2:F$20,MATCH("Matched|"&amp;(ROW()-1),'Master data'!$Q$2:$Q$20,0)),"")</f>
        <v>12240</v>
      </c>
      <c r="G3" s="10" t="n">
        <f aca="false">IFERROR(INDEX('Master data'!G$2:G$20,MATCH("Matched|"&amp;(ROW()-1),'Master data'!$Q$2:$Q$20,0)),"")</f>
        <v>0</v>
      </c>
      <c r="H3" s="10" t="n">
        <f aca="false">IFERROR(INDEX('Master data'!H$2:H$20,MATCH("Matched|"&amp;(ROW()-1),'Master data'!$Q$2:$Q$20,0)),"")</f>
        <v>0</v>
      </c>
      <c r="I3" s="10" t="n">
        <f aca="false">IFERROR(INDEX('Master data'!I$2:I$20,MATCH("Matched|"&amp;(ROW()-1),'Master data'!$Q$2:$Q$20,0)),"")</f>
        <v>0</v>
      </c>
      <c r="J3" s="10" t="n">
        <f aca="false">IFERROR(INDEX('Master data'!J$2:J$20,MATCH("Matched|"&amp;(ROW()-1),'Master data'!$Q$2:$Q$20,0)),"")</f>
        <v>12240</v>
      </c>
      <c r="K3" s="10" t="n">
        <f aca="false">IFERROR(INDEX('Master data'!K$2:K$20,MATCH("Matched|"&amp;(ROW()-1),'Master data'!$Q$2:$Q$20,0)),"")</f>
        <v>80240</v>
      </c>
      <c r="L3" s="9" t="str">
        <f aca="false">IFERROR(INDEX('Master data'!L$2:L$20,MATCH("Matched|"&amp;(ROW()-1),'Master data'!$Q$2:$Q$20,0)),"")</f>
        <v>Matched</v>
      </c>
      <c r="M3" s="9" t="str">
        <f aca="false">IFERROR(INDEX('Master data'!M$2:M$20,MATCH("Matched|"&amp;(ROW()-1),'Master data'!$Q$2:$Q$20,0)),"")</f>
        <v>Not reviewed</v>
      </c>
      <c r="N3" s="9" t="n">
        <f aca="false">IFERROR(INDEX('Master data'!N$2:N$20,MATCH("Matched|"&amp;(ROW()-1),'Master data'!$Q$2:$Q$20,0)),"")</f>
        <v>0</v>
      </c>
      <c r="O3" s="9" t="str">
        <f aca="false">IFERROR(INDEX('Master data'!O$2:O$20,MATCH("Matched|"&amp;(ROW()-1),'Master data'!$Q$2:$Q$20,0)),"")</f>
        <v>High — 98%</v>
      </c>
      <c r="P3" s="11" t="str">
        <f aca="false">IFERROR(INDEX('Master data'!P$2:P$20,MATCH("Matched|"&amp;(ROW()-1),'Master data'!$Q$2:$Q$20,0)),"")</f>
        <v>Matched on: GSTIN 24AABCS5678G1Z4, invoice SF-2291; taxable value, CGST, SGST, IGST and cess all agree.</v>
      </c>
    </row>
    <row r="4" customFormat="false" ht="76.1" hidden="false" customHeight="false" outlineLevel="0" collapsed="false">
      <c r="A4" s="9" t="str">
        <f aca="false">IFERROR(INDEX('Master data'!A$2:A$20,MATCH("Matched|"&amp;(ROW()-1),'Master data'!$Q$2:$Q$20,0)),"")</f>
        <v>DELHI TELECOM SERVICES LTD</v>
      </c>
      <c r="B4" s="9" t="str">
        <f aca="false">IFERROR(INDEX('Master data'!B$2:B$20,MATCH("Matched|"&amp;(ROW()-1),'Master data'!$Q$2:$Q$20,0)),"")</f>
        <v>07AABCD3344E1Z9</v>
      </c>
      <c r="C4" s="9" t="str">
        <f aca="false">IFERROR(INDEX('Master data'!C$2:C$20,MATCH("Matched|"&amp;(ROW()-1),'Master data'!$Q$2:$Q$20,0)),"")</f>
        <v>DTS/998877</v>
      </c>
      <c r="D4" s="9" t="str">
        <f aca="false">IFERROR(INDEX('Master data'!D$2:D$20,MATCH("Matched|"&amp;(ROW()-1),'Master data'!$Q$2:$Q$20,0)),"")</f>
        <v>06 Sep 2026</v>
      </c>
      <c r="E4" s="10" t="n">
        <f aca="false">IFERROR(INDEX('Master data'!E$2:E$20,MATCH("Matched|"&amp;(ROW()-1),'Master data'!$Q$2:$Q$20,0)),"")</f>
        <v>599</v>
      </c>
      <c r="F4" s="10" t="n">
        <f aca="false">IFERROR(INDEX('Master data'!F$2:F$20,MATCH("Matched|"&amp;(ROW()-1),'Master data'!$Q$2:$Q$20,0)),"")</f>
        <v>0</v>
      </c>
      <c r="G4" s="10" t="n">
        <f aca="false">IFERROR(INDEX('Master data'!G$2:G$20,MATCH("Matched|"&amp;(ROW()-1),'Master data'!$Q$2:$Q$20,0)),"")</f>
        <v>53.91</v>
      </c>
      <c r="H4" s="10" t="n">
        <f aca="false">IFERROR(INDEX('Master data'!H$2:H$20,MATCH("Matched|"&amp;(ROW()-1),'Master data'!$Q$2:$Q$20,0)),"")</f>
        <v>53.91</v>
      </c>
      <c r="I4" s="10" t="n">
        <f aca="false">IFERROR(INDEX('Master data'!I$2:I$20,MATCH("Matched|"&amp;(ROW()-1),'Master data'!$Q$2:$Q$20,0)),"")</f>
        <v>0</v>
      </c>
      <c r="J4" s="10" t="n">
        <f aca="false">IFERROR(INDEX('Master data'!J$2:J$20,MATCH("Matched|"&amp;(ROW()-1),'Master data'!$Q$2:$Q$20,0)),"")</f>
        <v>107.82</v>
      </c>
      <c r="K4" s="10" t="n">
        <f aca="false">IFERROR(INDEX('Master data'!K$2:K$20,MATCH("Matched|"&amp;(ROW()-1),'Master data'!$Q$2:$Q$20,0)),"")</f>
        <v>706.82</v>
      </c>
      <c r="L4" s="9" t="str">
        <f aca="false">IFERROR(INDEX('Master data'!L$2:L$20,MATCH("Matched|"&amp;(ROW()-1),'Master data'!$Q$2:$Q$20,0)),"")</f>
        <v>Matched</v>
      </c>
      <c r="M4" s="9" t="str">
        <f aca="false">IFERROR(INDEX('Master data'!M$2:M$20,MATCH("Matched|"&amp;(ROW()-1),'Master data'!$Q$2:$Q$20,0)),"")</f>
        <v>Not reviewed</v>
      </c>
      <c r="N4" s="9" t="n">
        <f aca="false">IFERROR(INDEX('Master data'!N$2:N$20,MATCH("Matched|"&amp;(ROW()-1),'Master data'!$Q$2:$Q$20,0)),"")</f>
        <v>0</v>
      </c>
      <c r="O4" s="9" t="str">
        <f aca="false">IFERROR(INDEX('Master data'!O$2:O$20,MATCH("Matched|"&amp;(ROW()-1),'Master data'!$Q$2:$Q$20,0)),"")</f>
        <v>High — 98%</v>
      </c>
      <c r="P4" s="11" t="str">
        <f aca="false">IFERROR(INDEX('Master data'!P$2:P$20,MATCH("Matched|"&amp;(ROW()-1),'Master data'!$Q$2:$Q$20,0)),"")</f>
        <v>Matched on: GSTIN 07AABCD3344E1Z9, invoice DTS/998877; taxable value, CGST, SGST, IGST and cess all agree within ₹10.00.</v>
      </c>
    </row>
    <row r="5" customFormat="false" ht="120.85" hidden="false" customHeight="false" outlineLevel="0" collapsed="false">
      <c r="A5" s="9" t="str">
        <f aca="false">IFERROR(INDEX('Master data'!A$2:A$20,MATCH("Matched|"&amp;(ROW()-1),'Master data'!$Q$2:$Q$20,0)),"")</f>
        <v>VIKAS ENTERPRISES</v>
      </c>
      <c r="B5" s="9" t="str">
        <f aca="false">IFERROR(INDEX('Master data'!B$2:B$20,MATCH("Matched|"&amp;(ROW()-1),'Master data'!$Q$2:$Q$20,0)),"")</f>
        <v>07AABCV6789K1Z8</v>
      </c>
      <c r="C5" s="9" t="str">
        <f aca="false">IFERROR(INDEX('Master data'!C$2:C$20,MATCH("Matched|"&amp;(ROW()-1),'Master data'!$Q$2:$Q$20,0)),"")</f>
        <v>VE-234</v>
      </c>
      <c r="D5" s="9" t="str">
        <f aca="false">IFERROR(INDEX('Master data'!D$2:D$20,MATCH("Matched|"&amp;(ROW()-1),'Master data'!$Q$2:$Q$20,0)),"")</f>
        <v>14 Sep 2026</v>
      </c>
      <c r="E5" s="10" t="n">
        <f aca="false">IFERROR(INDEX('Master data'!E$2:E$20,MATCH("Matched|"&amp;(ROW()-1),'Master data'!$Q$2:$Q$20,0)),"")</f>
        <v>18000</v>
      </c>
      <c r="F5" s="10" t="n">
        <f aca="false">IFERROR(INDEX('Master data'!F$2:F$20,MATCH("Matched|"&amp;(ROW()-1),'Master data'!$Q$2:$Q$20,0)),"")</f>
        <v>0</v>
      </c>
      <c r="G5" s="10" t="n">
        <f aca="false">IFERROR(INDEX('Master data'!G$2:G$20,MATCH("Matched|"&amp;(ROW()-1),'Master data'!$Q$2:$Q$20,0)),"")</f>
        <v>1620</v>
      </c>
      <c r="H5" s="10" t="n">
        <f aca="false">IFERROR(INDEX('Master data'!H$2:H$20,MATCH("Matched|"&amp;(ROW()-1),'Master data'!$Q$2:$Q$20,0)),"")</f>
        <v>1620</v>
      </c>
      <c r="I5" s="10" t="n">
        <f aca="false">IFERROR(INDEX('Master data'!I$2:I$20,MATCH("Matched|"&amp;(ROW()-1),'Master data'!$Q$2:$Q$20,0)),"")</f>
        <v>0</v>
      </c>
      <c r="J5" s="10" t="n">
        <f aca="false">IFERROR(INDEX('Master data'!J$2:J$20,MATCH("Matched|"&amp;(ROW()-1),'Master data'!$Q$2:$Q$20,0)),"")</f>
        <v>3240</v>
      </c>
      <c r="K5" s="10" t="n">
        <f aca="false">IFERROR(INDEX('Master data'!K$2:K$20,MATCH("Matched|"&amp;(ROW()-1),'Master data'!$Q$2:$Q$20,0)),"")</f>
        <v>21240</v>
      </c>
      <c r="L5" s="9" t="str">
        <f aca="false">IFERROR(INDEX('Master data'!L$2:L$20,MATCH("Matched|"&amp;(ROW()-1),'Master data'!$Q$2:$Q$20,0)),"")</f>
        <v>Matched</v>
      </c>
      <c r="M5" s="9" t="str">
        <f aca="false">IFERROR(INDEX('Master data'!M$2:M$20,MATCH("Matched|"&amp;(ROW()-1),'Master data'!$Q$2:$Q$20,0)),"")</f>
        <v>Not reviewed</v>
      </c>
      <c r="N5" s="9" t="n">
        <f aca="false">IFERROR(INDEX('Master data'!N$2:N$20,MATCH("Matched|"&amp;(ROW()-1),'Master data'!$Q$2:$Q$20,0)),"")</f>
        <v>0</v>
      </c>
      <c r="O5" s="9" t="str">
        <f aca="false">IFERROR(INDEX('Master data'!O$2:O$20,MATCH("Matched|"&amp;(ROW()-1),'Master data'!$Q$2:$Q$20,0)),"")</f>
        <v>Medium — 90%</v>
      </c>
      <c r="P5" s="11" t="str">
        <f aca="false">IFERROR(INDEX('Master data'!P$2:P$20,MATCH("Matched|"&amp;(ROW()-1),'Master data'!$Q$2:$Q$20,0)),"")</f>
        <v>Matched on: GSTIN 07AABCV6789K1Z8, invoice 'VE-234' (books) / 'VE/26-27/0234' (portal); taxable value, CGST, SGST, IGST and cess all agree. after invoice number variance ('VE-234' in books, 'VE/26-27/0234' on portal)</v>
      </c>
    </row>
    <row r="6" customFormat="false" ht="61.15" hidden="false" customHeight="false" outlineLevel="0" collapsed="false">
      <c r="A6" s="9" t="str">
        <f aca="false">IFERROR(INDEX('Master data'!A$2:A$20,MATCH("Matched|"&amp;(ROW()-1),'Master data'!$Q$2:$Q$20,0)),"")</f>
        <v>OM TRADERS</v>
      </c>
      <c r="B6" s="9" t="str">
        <f aca="false">IFERROR(INDEX('Master data'!B$2:B$20,MATCH("Matched|"&amp;(ROW()-1),'Master data'!$Q$2:$Q$20,0)),"")</f>
        <v>07AAAOP9012H1Z6</v>
      </c>
      <c r="C6" s="9" t="str">
        <f aca="false">IFERROR(INDEX('Master data'!C$2:C$20,MATCH("Matched|"&amp;(ROW()-1),'Master data'!$Q$2:$Q$20,0)),"")</f>
        <v>OT/85</v>
      </c>
      <c r="D6" s="9" t="str">
        <f aca="false">IFERROR(INDEX('Master data'!D$2:D$20,MATCH("Matched|"&amp;(ROW()-1),'Master data'!$Q$2:$Q$20,0)),"")</f>
        <v>15 Sep 2026</v>
      </c>
      <c r="E6" s="10" t="n">
        <f aca="false">IFERROR(INDEX('Master data'!E$2:E$20,MATCH("Matched|"&amp;(ROW()-1),'Master data'!$Q$2:$Q$20,0)),"")</f>
        <v>12000</v>
      </c>
      <c r="F6" s="10" t="n">
        <f aca="false">IFERROR(INDEX('Master data'!F$2:F$20,MATCH("Matched|"&amp;(ROW()-1),'Master data'!$Q$2:$Q$20,0)),"")</f>
        <v>0</v>
      </c>
      <c r="G6" s="10" t="n">
        <f aca="false">IFERROR(INDEX('Master data'!G$2:G$20,MATCH("Matched|"&amp;(ROW()-1),'Master data'!$Q$2:$Q$20,0)),"")</f>
        <v>1080</v>
      </c>
      <c r="H6" s="10" t="n">
        <f aca="false">IFERROR(INDEX('Master data'!H$2:H$20,MATCH("Matched|"&amp;(ROW()-1),'Master data'!$Q$2:$Q$20,0)),"")</f>
        <v>1080</v>
      </c>
      <c r="I6" s="10" t="n">
        <f aca="false">IFERROR(INDEX('Master data'!I$2:I$20,MATCH("Matched|"&amp;(ROW()-1),'Master data'!$Q$2:$Q$20,0)),"")</f>
        <v>0</v>
      </c>
      <c r="J6" s="10" t="n">
        <f aca="false">IFERROR(INDEX('Master data'!J$2:J$20,MATCH("Matched|"&amp;(ROW()-1),'Master data'!$Q$2:$Q$20,0)),"")</f>
        <v>2160</v>
      </c>
      <c r="K6" s="10" t="n">
        <f aca="false">IFERROR(INDEX('Master data'!K$2:K$20,MATCH("Matched|"&amp;(ROW()-1),'Master data'!$Q$2:$Q$20,0)),"")</f>
        <v>14160</v>
      </c>
      <c r="L6" s="9" t="str">
        <f aca="false">IFERROR(INDEX('Master data'!L$2:L$20,MATCH("Matched|"&amp;(ROW()-1),'Master data'!$Q$2:$Q$20,0)),"")</f>
        <v>Matched</v>
      </c>
      <c r="M6" s="9" t="str">
        <f aca="false">IFERROR(INDEX('Master data'!M$2:M$20,MATCH("Matched|"&amp;(ROW()-1),'Master data'!$Q$2:$Q$20,0)),"")</f>
        <v>Not reviewed</v>
      </c>
      <c r="N6" s="9" t="n">
        <f aca="false">IFERROR(INDEX('Master data'!N$2:N$20,MATCH("Matched|"&amp;(ROW()-1),'Master data'!$Q$2:$Q$20,0)),"")</f>
        <v>0</v>
      </c>
      <c r="O6" s="9" t="str">
        <f aca="false">IFERROR(INDEX('Master data'!O$2:O$20,MATCH("Matched|"&amp;(ROW()-1),'Master data'!$Q$2:$Q$20,0)),"")</f>
        <v>High — 98%</v>
      </c>
      <c r="P6" s="11" t="str">
        <f aca="false">IFERROR(INDEX('Master data'!P$2:P$20,MATCH("Matched|"&amp;(ROW()-1),'Master data'!$Q$2:$Q$20,0)),"")</f>
        <v>Matched on: GSTIN 07AAAOP9012H1Z6, invoice OT/85; taxable value, CGST, SGST, IGST and cess all agree.</v>
      </c>
    </row>
    <row r="7" customFormat="false" ht="61.15" hidden="false" customHeight="false" outlineLevel="0" collapsed="false">
      <c r="A7" s="9" t="str">
        <f aca="false">IFERROR(INDEX('Master data'!A$2:A$20,MATCH("Matched|"&amp;(ROW()-1),'Master data'!$Q$2:$Q$20,0)),"")</f>
        <v>LEGAL CONSULTANTS &amp; ASSOCIATES</v>
      </c>
      <c r="B7" s="9" t="str">
        <f aca="false">IFERROR(INDEX('Master data'!B$2:B$20,MATCH("Matched|"&amp;(ROW()-1),'Master data'!$Q$2:$Q$20,0)),"")</f>
        <v>07AABCL2222Q1Z5</v>
      </c>
      <c r="C7" s="9" t="str">
        <f aca="false">IFERROR(INDEX('Master data'!C$2:C$20,MATCH("Matched|"&amp;(ROW()-1),'Master data'!$Q$2:$Q$20,0)),"")</f>
        <v>LC/44</v>
      </c>
      <c r="D7" s="9" t="str">
        <f aca="false">IFERROR(INDEX('Master data'!D$2:D$20,MATCH("Matched|"&amp;(ROW()-1),'Master data'!$Q$2:$Q$20,0)),"")</f>
        <v>16 Sep 2026</v>
      </c>
      <c r="E7" s="10" t="n">
        <f aca="false">IFERROR(INDEX('Master data'!E$2:E$20,MATCH("Matched|"&amp;(ROW()-1),'Master data'!$Q$2:$Q$20,0)),"")</f>
        <v>25000</v>
      </c>
      <c r="F7" s="10" t="n">
        <f aca="false">IFERROR(INDEX('Master data'!F$2:F$20,MATCH("Matched|"&amp;(ROW()-1),'Master data'!$Q$2:$Q$20,0)),"")</f>
        <v>0</v>
      </c>
      <c r="G7" s="10" t="n">
        <f aca="false">IFERROR(INDEX('Master data'!G$2:G$20,MATCH("Matched|"&amp;(ROW()-1),'Master data'!$Q$2:$Q$20,0)),"")</f>
        <v>2250</v>
      </c>
      <c r="H7" s="10" t="n">
        <f aca="false">IFERROR(INDEX('Master data'!H$2:H$20,MATCH("Matched|"&amp;(ROW()-1),'Master data'!$Q$2:$Q$20,0)),"")</f>
        <v>2250</v>
      </c>
      <c r="I7" s="10" t="n">
        <f aca="false">IFERROR(INDEX('Master data'!I$2:I$20,MATCH("Matched|"&amp;(ROW()-1),'Master data'!$Q$2:$Q$20,0)),"")</f>
        <v>0</v>
      </c>
      <c r="J7" s="10" t="n">
        <f aca="false">IFERROR(INDEX('Master data'!J$2:J$20,MATCH("Matched|"&amp;(ROW()-1),'Master data'!$Q$2:$Q$20,0)),"")</f>
        <v>4500</v>
      </c>
      <c r="K7" s="10" t="n">
        <f aca="false">IFERROR(INDEX('Master data'!K$2:K$20,MATCH("Matched|"&amp;(ROW()-1),'Master data'!$Q$2:$Q$20,0)),"")</f>
        <v>29500</v>
      </c>
      <c r="L7" s="9" t="str">
        <f aca="false">IFERROR(INDEX('Master data'!L$2:L$20,MATCH("Matched|"&amp;(ROW()-1),'Master data'!$Q$2:$Q$20,0)),"")</f>
        <v>Matched</v>
      </c>
      <c r="M7" s="9" t="str">
        <f aca="false">IFERROR(INDEX('Master data'!M$2:M$20,MATCH("Matched|"&amp;(ROW()-1),'Master data'!$Q$2:$Q$20,0)),"")</f>
        <v>Not reviewed</v>
      </c>
      <c r="N7" s="9" t="n">
        <f aca="false">IFERROR(INDEX('Master data'!N$2:N$20,MATCH("Matched|"&amp;(ROW()-1),'Master data'!$Q$2:$Q$20,0)),"")</f>
        <v>0</v>
      </c>
      <c r="O7" s="9" t="str">
        <f aca="false">IFERROR(INDEX('Master data'!O$2:O$20,MATCH("Matched|"&amp;(ROW()-1),'Master data'!$Q$2:$Q$20,0)),"")</f>
        <v>High — 98%</v>
      </c>
      <c r="P7" s="11" t="str">
        <f aca="false">IFERROR(INDEX('Master data'!P$2:P$20,MATCH("Matched|"&amp;(ROW()-1),'Master data'!$Q$2:$Q$20,0)),"")</f>
        <v>Matched on: GSTIN 07AABCL2222Q1Z5, invoice LC/44; taxable value, CGST, SGST, IGST and cess all agree.</v>
      </c>
    </row>
    <row r="8" customFormat="false" ht="61.15" hidden="false" customHeight="false" outlineLevel="0" collapsed="false">
      <c r="A8" s="9" t="str">
        <f aca="false">IFERROR(INDEX('Master data'!A$2:A$20,MATCH("Matched|"&amp;(ROW()-1),'Master data'!$Q$2:$Q$20,0)),"")</f>
        <v>CELEBRATION CATERERS</v>
      </c>
      <c r="B8" s="9" t="str">
        <f aca="false">IFERROR(INDEX('Master data'!B$2:B$20,MATCH("Matched|"&amp;(ROW()-1),'Master data'!$Q$2:$Q$20,0)),"")</f>
        <v>07AABCC3333R1Z7</v>
      </c>
      <c r="C8" s="9" t="str">
        <f aca="false">IFERROR(INDEX('Master data'!C$2:C$20,MATCH("Matched|"&amp;(ROW()-1),'Master data'!$Q$2:$Q$20,0)),"")</f>
        <v>CC/12</v>
      </c>
      <c r="D8" s="9" t="str">
        <f aca="false">IFERROR(INDEX('Master data'!D$2:D$20,MATCH("Matched|"&amp;(ROW()-1),'Master data'!$Q$2:$Q$20,0)),"")</f>
        <v>19 Sep 2026</v>
      </c>
      <c r="E8" s="10" t="n">
        <f aca="false">IFERROR(INDEX('Master data'!E$2:E$20,MATCH("Matched|"&amp;(ROW()-1),'Master data'!$Q$2:$Q$20,0)),"")</f>
        <v>8000</v>
      </c>
      <c r="F8" s="10" t="n">
        <f aca="false">IFERROR(INDEX('Master data'!F$2:F$20,MATCH("Matched|"&amp;(ROW()-1),'Master data'!$Q$2:$Q$20,0)),"")</f>
        <v>0</v>
      </c>
      <c r="G8" s="10" t="n">
        <f aca="false">IFERROR(INDEX('Master data'!G$2:G$20,MATCH("Matched|"&amp;(ROW()-1),'Master data'!$Q$2:$Q$20,0)),"")</f>
        <v>720</v>
      </c>
      <c r="H8" s="10" t="n">
        <f aca="false">IFERROR(INDEX('Master data'!H$2:H$20,MATCH("Matched|"&amp;(ROW()-1),'Master data'!$Q$2:$Q$20,0)),"")</f>
        <v>720</v>
      </c>
      <c r="I8" s="10" t="n">
        <f aca="false">IFERROR(INDEX('Master data'!I$2:I$20,MATCH("Matched|"&amp;(ROW()-1),'Master data'!$Q$2:$Q$20,0)),"")</f>
        <v>0</v>
      </c>
      <c r="J8" s="10" t="n">
        <f aca="false">IFERROR(INDEX('Master data'!J$2:J$20,MATCH("Matched|"&amp;(ROW()-1),'Master data'!$Q$2:$Q$20,0)),"")</f>
        <v>1440</v>
      </c>
      <c r="K8" s="10" t="n">
        <f aca="false">IFERROR(INDEX('Master data'!K$2:K$20,MATCH("Matched|"&amp;(ROW()-1),'Master data'!$Q$2:$Q$20,0)),"")</f>
        <v>9440</v>
      </c>
      <c r="L8" s="9" t="str">
        <f aca="false">IFERROR(INDEX('Master data'!L$2:L$20,MATCH("Matched|"&amp;(ROW()-1),'Master data'!$Q$2:$Q$20,0)),"")</f>
        <v>Matched</v>
      </c>
      <c r="M8" s="9" t="str">
        <f aca="false">IFERROR(INDEX('Master data'!M$2:M$20,MATCH("Matched|"&amp;(ROW()-1),'Master data'!$Q$2:$Q$20,0)),"")</f>
        <v>Not reviewed</v>
      </c>
      <c r="N8" s="9" t="n">
        <f aca="false">IFERROR(INDEX('Master data'!N$2:N$20,MATCH("Matched|"&amp;(ROW()-1),'Master data'!$Q$2:$Q$20,0)),"")</f>
        <v>0</v>
      </c>
      <c r="O8" s="9" t="str">
        <f aca="false">IFERROR(INDEX('Master data'!O$2:O$20,MATCH("Matched|"&amp;(ROW()-1),'Master data'!$Q$2:$Q$20,0)),"")</f>
        <v>High — 98%</v>
      </c>
      <c r="P8" s="11" t="str">
        <f aca="false">IFERROR(INDEX('Master data'!P$2:P$20,MATCH("Matched|"&amp;(ROW()-1),'Master data'!$Q$2:$Q$20,0)),"")</f>
        <v>Matched on: GSTIN 07AABCC3333R1Z7, invoice CC/12; taxable value, CGST, SGST, IGST and cess all agree.</v>
      </c>
    </row>
    <row r="9" customFormat="false" ht="61.15" hidden="false" customHeight="false" outlineLevel="0" collapsed="false">
      <c r="A9" s="9" t="str">
        <f aca="false">IFERROR(INDEX('Master data'!A$2:A$20,MATCH("Matched|"&amp;(ROW()-1),'Master data'!$Q$2:$Q$20,0)),"")</f>
        <v>SUNRISE FABRICS PVT LTD</v>
      </c>
      <c r="B9" s="9" t="str">
        <f aca="false">IFERROR(INDEX('Master data'!B$2:B$20,MATCH("Matched|"&amp;(ROW()-1),'Master data'!$Q$2:$Q$20,0)),"")</f>
        <v>24AABCS5678G1Z4</v>
      </c>
      <c r="C9" s="9" t="str">
        <f aca="false">IFERROR(INDEX('Master data'!C$2:C$20,MATCH("Matched|"&amp;(ROW()-1),'Master data'!$Q$2:$Q$20,0)),"")</f>
        <v>SF-2318</v>
      </c>
      <c r="D9" s="9" t="str">
        <f aca="false">IFERROR(INDEX('Master data'!D$2:D$20,MATCH("Matched|"&amp;(ROW()-1),'Master data'!$Q$2:$Q$20,0)),"")</f>
        <v>27 Sep 2026</v>
      </c>
      <c r="E9" s="10" t="n">
        <f aca="false">IFERROR(INDEX('Master data'!E$2:E$20,MATCH("Matched|"&amp;(ROW()-1),'Master data'!$Q$2:$Q$20,0)),"")</f>
        <v>30000</v>
      </c>
      <c r="F9" s="10" t="n">
        <f aca="false">IFERROR(INDEX('Master data'!F$2:F$20,MATCH("Matched|"&amp;(ROW()-1),'Master data'!$Q$2:$Q$20,0)),"")</f>
        <v>5400</v>
      </c>
      <c r="G9" s="10" t="n">
        <f aca="false">IFERROR(INDEX('Master data'!G$2:G$20,MATCH("Matched|"&amp;(ROW()-1),'Master data'!$Q$2:$Q$20,0)),"")</f>
        <v>0</v>
      </c>
      <c r="H9" s="10" t="n">
        <f aca="false">IFERROR(INDEX('Master data'!H$2:H$20,MATCH("Matched|"&amp;(ROW()-1),'Master data'!$Q$2:$Q$20,0)),"")</f>
        <v>0</v>
      </c>
      <c r="I9" s="10" t="n">
        <f aca="false">IFERROR(INDEX('Master data'!I$2:I$20,MATCH("Matched|"&amp;(ROW()-1),'Master data'!$Q$2:$Q$20,0)),"")</f>
        <v>0</v>
      </c>
      <c r="J9" s="10" t="n">
        <f aca="false">IFERROR(INDEX('Master data'!J$2:J$20,MATCH("Matched|"&amp;(ROW()-1),'Master data'!$Q$2:$Q$20,0)),"")</f>
        <v>5400</v>
      </c>
      <c r="K9" s="10" t="n">
        <f aca="false">IFERROR(INDEX('Master data'!K$2:K$20,MATCH("Matched|"&amp;(ROW()-1),'Master data'!$Q$2:$Q$20,0)),"")</f>
        <v>35400</v>
      </c>
      <c r="L9" s="9" t="str">
        <f aca="false">IFERROR(INDEX('Master data'!L$2:L$20,MATCH("Matched|"&amp;(ROW()-1),'Master data'!$Q$2:$Q$20,0)),"")</f>
        <v>Matched</v>
      </c>
      <c r="M9" s="9" t="str">
        <f aca="false">IFERROR(INDEX('Master data'!M$2:M$20,MATCH("Matched|"&amp;(ROW()-1),'Master data'!$Q$2:$Q$20,0)),"")</f>
        <v>Not reviewed</v>
      </c>
      <c r="N9" s="9" t="n">
        <f aca="false">IFERROR(INDEX('Master data'!N$2:N$20,MATCH("Matched|"&amp;(ROW()-1),'Master data'!$Q$2:$Q$20,0)),"")</f>
        <v>0</v>
      </c>
      <c r="O9" s="9" t="str">
        <f aca="false">IFERROR(INDEX('Master data'!O$2:O$20,MATCH("Matched|"&amp;(ROW()-1),'Master data'!$Q$2:$Q$20,0)),"")</f>
        <v>High — 98%</v>
      </c>
      <c r="P9" s="11" t="str">
        <f aca="false">IFERROR(INDEX('Master data'!P$2:P$20,MATCH("Matched|"&amp;(ROW()-1),'Master data'!$Q$2:$Q$20,0)),"")</f>
        <v>Matched on: GSTIN 24AABCS5678G1Z4, invoice SF-2318; taxable value, CGST, SGST, IGST and cess all agree.</v>
      </c>
    </row>
    <row r="10" customFormat="false" ht="61.15" hidden="false" customHeight="false" outlineLevel="0" collapsed="false">
      <c r="A10" s="9" t="str">
        <f aca="false">IFERROR(INDEX('Master data'!A$2:A$20,MATCH("Matched|"&amp;(ROW()-1),'Master data'!$Q$2:$Q$20,0)),"")</f>
        <v>RAJESH TEXTILE MILLS</v>
      </c>
      <c r="B10" s="9" t="str">
        <f aca="false">IFERROR(INDEX('Master data'!B$2:B$20,MATCH("Matched|"&amp;(ROW()-1),'Master data'!$Q$2:$Q$20,0)),"")</f>
        <v>07AABCR1234F1Z2</v>
      </c>
      <c r="C10" s="9" t="str">
        <f aca="false">IFERROR(INDEX('Master data'!C$2:C$20,MATCH("Matched|"&amp;(ROW()-1),'Master data'!$Q$2:$Q$20,0)),"")</f>
        <v>RTM/170</v>
      </c>
      <c r="D10" s="9" t="str">
        <f aca="false">IFERROR(INDEX('Master data'!D$2:D$20,MATCH("Matched|"&amp;(ROW()-1),'Master data'!$Q$2:$Q$20,0)),"")</f>
        <v>29 Sep 2026</v>
      </c>
      <c r="E10" s="10" t="n">
        <f aca="false">IFERROR(INDEX('Master data'!E$2:E$20,MATCH("Matched|"&amp;(ROW()-1),'Master data'!$Q$2:$Q$20,0)),"")</f>
        <v>22000</v>
      </c>
      <c r="F10" s="10" t="n">
        <f aca="false">IFERROR(INDEX('Master data'!F$2:F$20,MATCH("Matched|"&amp;(ROW()-1),'Master data'!$Q$2:$Q$20,0)),"")</f>
        <v>0</v>
      </c>
      <c r="G10" s="10" t="n">
        <f aca="false">IFERROR(INDEX('Master data'!G$2:G$20,MATCH("Matched|"&amp;(ROW()-1),'Master data'!$Q$2:$Q$20,0)),"")</f>
        <v>1980</v>
      </c>
      <c r="H10" s="10" t="n">
        <f aca="false">IFERROR(INDEX('Master data'!H$2:H$20,MATCH("Matched|"&amp;(ROW()-1),'Master data'!$Q$2:$Q$20,0)),"")</f>
        <v>1980</v>
      </c>
      <c r="I10" s="10" t="n">
        <f aca="false">IFERROR(INDEX('Master data'!I$2:I$20,MATCH("Matched|"&amp;(ROW()-1),'Master data'!$Q$2:$Q$20,0)),"")</f>
        <v>0</v>
      </c>
      <c r="J10" s="10" t="n">
        <f aca="false">IFERROR(INDEX('Master data'!J$2:J$20,MATCH("Matched|"&amp;(ROW()-1),'Master data'!$Q$2:$Q$20,0)),"")</f>
        <v>3960</v>
      </c>
      <c r="K10" s="10" t="n">
        <f aca="false">IFERROR(INDEX('Master data'!K$2:K$20,MATCH("Matched|"&amp;(ROW()-1),'Master data'!$Q$2:$Q$20,0)),"")</f>
        <v>25960</v>
      </c>
      <c r="L10" s="9" t="str">
        <f aca="false">IFERROR(INDEX('Master data'!L$2:L$20,MATCH("Matched|"&amp;(ROW()-1),'Master data'!$Q$2:$Q$20,0)),"")</f>
        <v>Matched</v>
      </c>
      <c r="M10" s="9" t="str">
        <f aca="false">IFERROR(INDEX('Master data'!M$2:M$20,MATCH("Matched|"&amp;(ROW()-1),'Master data'!$Q$2:$Q$20,0)),"")</f>
        <v>Not reviewed</v>
      </c>
      <c r="N10" s="9" t="n">
        <f aca="false">IFERROR(INDEX('Master data'!N$2:N$20,MATCH("Matched|"&amp;(ROW()-1),'Master data'!$Q$2:$Q$20,0)),"")</f>
        <v>0</v>
      </c>
      <c r="O10" s="9" t="str">
        <f aca="false">IFERROR(INDEX('Master data'!O$2:O$20,MATCH("Matched|"&amp;(ROW()-1),'Master data'!$Q$2:$Q$20,0)),"")</f>
        <v>High — 98%</v>
      </c>
      <c r="P10" s="11" t="str">
        <f aca="false">IFERROR(INDEX('Master data'!P$2:P$20,MATCH("Matched|"&amp;(ROW()-1),'Master data'!$Q$2:$Q$20,0)),"")</f>
        <v>Matched on: GSTIN 07AABCR1234F1Z2, invoice RTM/170; taxable value, CGST, SGST, IGST and cess all agree.</v>
      </c>
    </row>
    <row r="11" customFormat="false" ht="135.8" hidden="false" customHeight="false" outlineLevel="0" collapsed="false">
      <c r="A11" s="9" t="str">
        <f aca="false">IFERROR(INDEX('Master data'!A$2:A$20,MATCH("Matched|"&amp;(ROW()-1),'Master data'!$Q$2:$Q$20,0)),"")</f>
        <v>OM TRADER'S</v>
      </c>
      <c r="B11" s="9" t="str">
        <f aca="false">IFERROR(INDEX('Master data'!B$2:B$20,MATCH("Matched|"&amp;(ROW()-1),'Master data'!$Q$2:$Q$20,0)),"")</f>
        <v>07AAA0P9012H1Z6</v>
      </c>
      <c r="C11" s="9" t="str">
        <f aca="false">IFERROR(INDEX('Master data'!C$2:C$20,MATCH("Matched|"&amp;(ROW()-1),'Master data'!$Q$2:$Q$20,0)),"")</f>
        <v>OT/91</v>
      </c>
      <c r="D11" s="9" t="str">
        <f aca="false">IFERROR(INDEX('Master data'!D$2:D$20,MATCH("Matched|"&amp;(ROW()-1),'Master data'!$Q$2:$Q$20,0)),"")</f>
        <v>30 Sep 2026</v>
      </c>
      <c r="E11" s="10" t="n">
        <f aca="false">IFERROR(INDEX('Master data'!E$2:E$20,MATCH("Matched|"&amp;(ROW()-1),'Master data'!$Q$2:$Q$20,0)),"")</f>
        <v>6000</v>
      </c>
      <c r="F11" s="10" t="n">
        <f aca="false">IFERROR(INDEX('Master data'!F$2:F$20,MATCH("Matched|"&amp;(ROW()-1),'Master data'!$Q$2:$Q$20,0)),"")</f>
        <v>0</v>
      </c>
      <c r="G11" s="10" t="n">
        <f aca="false">IFERROR(INDEX('Master data'!G$2:G$20,MATCH("Matched|"&amp;(ROW()-1),'Master data'!$Q$2:$Q$20,0)),"")</f>
        <v>540</v>
      </c>
      <c r="H11" s="10" t="n">
        <f aca="false">IFERROR(INDEX('Master data'!H$2:H$20,MATCH("Matched|"&amp;(ROW()-1),'Master data'!$Q$2:$Q$20,0)),"")</f>
        <v>540</v>
      </c>
      <c r="I11" s="10" t="n">
        <f aca="false">IFERROR(INDEX('Master data'!I$2:I$20,MATCH("Matched|"&amp;(ROW()-1),'Master data'!$Q$2:$Q$20,0)),"")</f>
        <v>0</v>
      </c>
      <c r="J11" s="10" t="n">
        <f aca="false">IFERROR(INDEX('Master data'!J$2:J$20,MATCH("Matched|"&amp;(ROW()-1),'Master data'!$Q$2:$Q$20,0)),"")</f>
        <v>1080</v>
      </c>
      <c r="K11" s="10" t="n">
        <f aca="false">IFERROR(INDEX('Master data'!K$2:K$20,MATCH("Matched|"&amp;(ROW()-1),'Master data'!$Q$2:$Q$20,0)),"")</f>
        <v>7080</v>
      </c>
      <c r="L11" s="9" t="str">
        <f aca="false">IFERROR(INDEX('Master data'!L$2:L$20,MATCH("Matched|"&amp;(ROW()-1),'Master data'!$Q$2:$Q$20,0)),"")</f>
        <v>Matched</v>
      </c>
      <c r="M11" s="9" t="str">
        <f aca="false">IFERROR(INDEX('Master data'!M$2:M$20,MATCH("Matched|"&amp;(ROW()-1),'Master data'!$Q$2:$Q$20,0)),"")</f>
        <v>Not reviewed</v>
      </c>
      <c r="N11" s="9" t="n">
        <f aca="false">IFERROR(INDEX('Master data'!N$2:N$20,MATCH("Matched|"&amp;(ROW()-1),'Master data'!$Q$2:$Q$20,0)),"")</f>
        <v>0</v>
      </c>
      <c r="O11" s="9" t="str">
        <f aca="false">IFERROR(INDEX('Master data'!O$2:O$20,MATCH("Matched|"&amp;(ROW()-1),'Master data'!$Q$2:$Q$20,0)),"")</f>
        <v>Medium — 65%</v>
      </c>
      <c r="P11" s="11" t="str">
        <f aca="false">IFERROR(INDEX('Master data'!P$2:P$20,MATCH("Matched|"&amp;(ROW()-1),'Master data'!$Q$2:$Q$20,0)),"")</f>
        <v>Matched on party name and amount: GSTIN 07AAA0P9012H1Z6, invoice OT/91; taxable value, CGST, SGST, IGST and cess all agree. via fuzzy party name match (95%: 'OM TRADER'S' ↔ 'Om Traders') Note: GSTIN '07AAA0P9012H1Z6' does not match structural pattern.</v>
      </c>
    </row>
    <row r="12" customFormat="false" ht="135.8" hidden="false" customHeight="false" outlineLevel="0" collapsed="false">
      <c r="A12" s="9" t="str">
        <f aca="false">IFERROR(INDEX('Master data'!A$2:A$20,MATCH("Matched|"&amp;(ROW()-1),'Master data'!$Q$2:$Q$20,0)),"")</f>
        <v>BRIGHT STAR TRADERS</v>
      </c>
      <c r="B12" s="9" t="str">
        <f aca="false">IFERROR(INDEX('Master data'!B$2:B$20,MATCH("Matched|"&amp;(ROW()-1),'Master data'!$Q$2:$Q$20,0)),"")</f>
        <v>07AABCB9988S1Z</v>
      </c>
      <c r="C12" s="9" t="str">
        <f aca="false">IFERROR(INDEX('Master data'!C$2:C$20,MATCH("Matched|"&amp;(ROW()-1),'Master data'!$Q$2:$Q$20,0)),"")</f>
        <v>BST/501</v>
      </c>
      <c r="D12" s="9" t="str">
        <f aca="false">IFERROR(INDEX('Master data'!D$2:D$20,MATCH("Matched|"&amp;(ROW()-1),'Master data'!$Q$2:$Q$20,0)),"")</f>
        <v>22 Sep 2026</v>
      </c>
      <c r="E12" s="10" t="n">
        <f aca="false">IFERROR(INDEX('Master data'!E$2:E$20,MATCH("Matched|"&amp;(ROW()-1),'Master data'!$Q$2:$Q$20,0)),"")</f>
        <v>11000</v>
      </c>
      <c r="F12" s="10" t="n">
        <f aca="false">IFERROR(INDEX('Master data'!F$2:F$20,MATCH("Matched|"&amp;(ROW()-1),'Master data'!$Q$2:$Q$20,0)),"")</f>
        <v>0</v>
      </c>
      <c r="G12" s="10" t="n">
        <f aca="false">IFERROR(INDEX('Master data'!G$2:G$20,MATCH("Matched|"&amp;(ROW()-1),'Master data'!$Q$2:$Q$20,0)),"")</f>
        <v>990</v>
      </c>
      <c r="H12" s="10" t="n">
        <f aca="false">IFERROR(INDEX('Master data'!H$2:H$20,MATCH("Matched|"&amp;(ROW()-1),'Master data'!$Q$2:$Q$20,0)),"")</f>
        <v>990</v>
      </c>
      <c r="I12" s="10" t="n">
        <f aca="false">IFERROR(INDEX('Master data'!I$2:I$20,MATCH("Matched|"&amp;(ROW()-1),'Master data'!$Q$2:$Q$20,0)),"")</f>
        <v>0</v>
      </c>
      <c r="J12" s="10" t="n">
        <f aca="false">IFERROR(INDEX('Master data'!J$2:J$20,MATCH("Matched|"&amp;(ROW()-1),'Master data'!$Q$2:$Q$20,0)),"")</f>
        <v>1980</v>
      </c>
      <c r="K12" s="10" t="n">
        <f aca="false">IFERROR(INDEX('Master data'!K$2:K$20,MATCH("Matched|"&amp;(ROW()-1),'Master data'!$Q$2:$Q$20,0)),"")</f>
        <v>12980</v>
      </c>
      <c r="L12" s="9" t="str">
        <f aca="false">IFERROR(INDEX('Master data'!L$2:L$20,MATCH("Matched|"&amp;(ROW()-1),'Master data'!$Q$2:$Q$20,0)),"")</f>
        <v>Matched</v>
      </c>
      <c r="M12" s="9" t="str">
        <f aca="false">IFERROR(INDEX('Master data'!M$2:M$20,MATCH("Matched|"&amp;(ROW()-1),'Master data'!$Q$2:$Q$20,0)),"")</f>
        <v>Not reviewed</v>
      </c>
      <c r="N12" s="9" t="n">
        <f aca="false">IFERROR(INDEX('Master data'!N$2:N$20,MATCH("Matched|"&amp;(ROW()-1),'Master data'!$Q$2:$Q$20,0)),"")</f>
        <v>0</v>
      </c>
      <c r="O12" s="9" t="str">
        <f aca="false">IFERROR(INDEX('Master data'!O$2:O$20,MATCH("Matched|"&amp;(ROW()-1),'Master data'!$Q$2:$Q$20,0)),"")</f>
        <v>Low — 60%</v>
      </c>
      <c r="P12" s="11" t="str">
        <f aca="false">IFERROR(INDEX('Master data'!P$2:P$20,MATCH("Matched|"&amp;(ROW()-1),'Master data'!$Q$2:$Q$20,0)),"")</f>
        <v>Matched on party name and amount: GSTIN 07AABCB9988S1Z, invoice BST/501; taxable value, CGST, SGST, IGST and cess all agree. via fuzzy party name match (100%: 'BRIGHT STAR TRADERS' ↔ 'Bright Star Traders') Note: GSTIN '07AABCB9988S1Z' has 14 chars (expected 15).</v>
      </c>
    </row>
    <row r="13" customFormat="false" ht="15" hidden="false" customHeight="false" outlineLevel="0" collapsed="false">
      <c r="A13" s="2" t="s">
        <v>28</v>
      </c>
      <c r="E13" s="21" t="n">
        <f aca="false">SUM(E2:E12)</f>
        <v>242599</v>
      </c>
      <c r="F13" s="21" t="n">
        <f aca="false">SUM(F2:F12)</f>
        <v>17640</v>
      </c>
      <c r="G13" s="21" t="n">
        <f aca="false">SUM(G2:G12)</f>
        <v>13013.91</v>
      </c>
      <c r="H13" s="21" t="n">
        <f aca="false">SUM(H2:H12)</f>
        <v>13013.91</v>
      </c>
      <c r="I13" s="21" t="n">
        <f aca="false">SUM(I2:I12)</f>
        <v>0</v>
      </c>
      <c r="J13" s="21" t="n">
        <f aca="false">SUM(J2:J12)</f>
        <v>43667.82</v>
      </c>
      <c r="K13" s="21" t="n">
        <f aca="false">SUM(K2:K12)</f>
        <v>286266.82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23</v>
      </c>
      <c r="K1" s="7" t="s">
        <v>24</v>
      </c>
      <c r="L1" s="7" t="s">
        <v>21</v>
      </c>
      <c r="M1" s="7" t="s">
        <v>71</v>
      </c>
      <c r="N1" s="7" t="s">
        <v>72</v>
      </c>
      <c r="O1" s="7" t="s">
        <v>73</v>
      </c>
      <c r="P1" s="7" t="s">
        <v>74</v>
      </c>
    </row>
    <row r="2" customFormat="false" ht="91" hidden="false" customHeight="false" outlineLevel="0" collapsed="false">
      <c r="A2" s="12" t="str">
        <f aca="false">IFERROR(INDEX('Master data'!A$2:A$20,MATCH("Amount Difference|"&amp;(ROW()-1),'Master data'!$Q$2:$Q$20,0)),"")</f>
        <v>RAJESH TEXTILE MILLS</v>
      </c>
      <c r="B2" s="12" t="str">
        <f aca="false">IFERROR(INDEX('Master data'!B$2:B$20,MATCH("Amount Difference|"&amp;(ROW()-1),'Master data'!$Q$2:$Q$20,0)),"")</f>
        <v>07AABCR1234F1Z2</v>
      </c>
      <c r="C2" s="12" t="str">
        <f aca="false">IFERROR(INDEX('Master data'!C$2:C$20,MATCH("Amount Difference|"&amp;(ROW()-1),'Master data'!$Q$2:$Q$20,0)),"")</f>
        <v>RTM/158</v>
      </c>
      <c r="D2" s="12" t="str">
        <f aca="false">IFERROR(INDEX('Master data'!D$2:D$20,MATCH("Amount Difference|"&amp;(ROW()-1),'Master data'!$Q$2:$Q$20,0)),"")</f>
        <v>22 Sep 2026</v>
      </c>
      <c r="E2" s="13" t="n">
        <f aca="false">IFERROR(INDEX('Master data'!E$2:E$20,MATCH("Amount Difference|"&amp;(ROW()-1),'Master data'!$Q$2:$Q$20,0)),"")</f>
        <v>35000</v>
      </c>
      <c r="F2" s="13" t="n">
        <f aca="false">IFERROR(INDEX('Master data'!F$2:F$20,MATCH("Amount Difference|"&amp;(ROW()-1),'Master data'!$Q$2:$Q$20,0)),"")</f>
        <v>0</v>
      </c>
      <c r="G2" s="13" t="n">
        <f aca="false">IFERROR(INDEX('Master data'!G$2:G$20,MATCH("Amount Difference|"&amp;(ROW()-1),'Master data'!$Q$2:$Q$20,0)),"")</f>
        <v>3150</v>
      </c>
      <c r="H2" s="13" t="n">
        <f aca="false">IFERROR(INDEX('Master data'!H$2:H$20,MATCH("Amount Difference|"&amp;(ROW()-1),'Master data'!$Q$2:$Q$20,0)),"")</f>
        <v>3150</v>
      </c>
      <c r="I2" s="13" t="n">
        <f aca="false">IFERROR(INDEX('Master data'!I$2:I$20,MATCH("Amount Difference|"&amp;(ROW()-1),'Master data'!$Q$2:$Q$20,0)),"")</f>
        <v>0</v>
      </c>
      <c r="J2" s="13" t="n">
        <f aca="false">IFERROR(INDEX('Master data'!J$2:J$20,MATCH("Amount Difference|"&amp;(ROW()-1),'Master data'!$Q$2:$Q$20,0)),"")</f>
        <v>6300</v>
      </c>
      <c r="K2" s="13" t="n">
        <f aca="false">IFERROR(INDEX('Master data'!K$2:K$20,MATCH("Amount Difference|"&amp;(ROW()-1),'Master data'!$Q$2:$Q$20,0)),"")</f>
        <v>41300</v>
      </c>
      <c r="L2" s="12" t="str">
        <f aca="false">IFERROR(INDEX('Master data'!L$2:L$20,MATCH("Amount Difference|"&amp;(ROW()-1),'Master data'!$Q$2:$Q$20,0)),"")</f>
        <v>Amount Difference</v>
      </c>
      <c r="M2" s="12" t="str">
        <f aca="false">IFERROR(INDEX('Master data'!M$2:M$20,MATCH("Amount Difference|"&amp;(ROW()-1),'Master data'!$Q$2:$Q$20,0)),"")</f>
        <v>Not reviewed</v>
      </c>
      <c r="N2" s="12" t="str">
        <f aca="false">IFERROR(INDEX('Master data'!N$2:N$20,MATCH("Amount Difference|"&amp;(ROW()-1),'Master data'!$Q$2:$Q$20,0)),"")</f>
        <v>Taxable Value Difference</v>
      </c>
      <c r="O2" s="12" t="str">
        <f aca="false">IFERROR(INDEX('Master data'!O$2:O$20,MATCH("Amount Difference|"&amp;(ROW()-1),'Master data'!$Q$2:$Q$20,0)),"")</f>
        <v>High — 98%</v>
      </c>
      <c r="P2" s="14" t="str">
        <f aca="false">IFERROR(INDEX('Master data'!P$2:P$20,MATCH("Amount Difference|"&amp;(ROW()-1),'Master data'!$Q$2:$Q$20,0)),"")</f>
        <v>Matched on: GSTIN 07AABCR1234F1Z2, invoice RTM/158; Taxable Value Difference: books ₹34,500.00 vs portal ₹35,000.00, difference ₹500.00.</v>
      </c>
    </row>
    <row r="3" customFormat="false" ht="76.1" hidden="false" customHeight="false" outlineLevel="0" collapsed="false">
      <c r="A3" s="12" t="str">
        <f aca="false">IFERROR(INDEX('Master data'!A$2:A$20,MATCH("Amount Difference|"&amp;(ROW()-1),'Master data'!$Q$2:$Q$20,0)),"")</f>
        <v>SUNRISE FABRICS PVT LTD</v>
      </c>
      <c r="B3" s="12" t="str">
        <f aca="false">IFERROR(INDEX('Master data'!B$2:B$20,MATCH("Amount Difference|"&amp;(ROW()-1),'Master data'!$Q$2:$Q$20,0)),"")</f>
        <v>24AABCS5678G1Z4</v>
      </c>
      <c r="C3" s="12" t="str">
        <f aca="false">IFERROR(INDEX('Master data'!C$2:C$20,MATCH("Amount Difference|"&amp;(ROW()-1),'Master data'!$Q$2:$Q$20,0)),"")</f>
        <v>SF-2305</v>
      </c>
      <c r="D3" s="12" t="str">
        <f aca="false">IFERROR(INDEX('Master data'!D$2:D$20,MATCH("Amount Difference|"&amp;(ROW()-1),'Master data'!$Q$2:$Q$20,0)),"")</f>
        <v>10 Sep 2026</v>
      </c>
      <c r="E3" s="13" t="n">
        <f aca="false">IFERROR(INDEX('Master data'!E$2:E$20,MATCH("Amount Difference|"&amp;(ROW()-1),'Master data'!$Q$2:$Q$20,0)),"")</f>
        <v>50000</v>
      </c>
      <c r="F3" s="13" t="n">
        <f aca="false">IFERROR(INDEX('Master data'!F$2:F$20,MATCH("Amount Difference|"&amp;(ROW()-1),'Master data'!$Q$2:$Q$20,0)),"")</f>
        <v>9000</v>
      </c>
      <c r="G3" s="13" t="n">
        <f aca="false">IFERROR(INDEX('Master data'!G$2:G$20,MATCH("Amount Difference|"&amp;(ROW()-1),'Master data'!$Q$2:$Q$20,0)),"")</f>
        <v>0</v>
      </c>
      <c r="H3" s="13" t="n">
        <f aca="false">IFERROR(INDEX('Master data'!H$2:H$20,MATCH("Amount Difference|"&amp;(ROW()-1),'Master data'!$Q$2:$Q$20,0)),"")</f>
        <v>0</v>
      </c>
      <c r="I3" s="13" t="n">
        <f aca="false">IFERROR(INDEX('Master data'!I$2:I$20,MATCH("Amount Difference|"&amp;(ROW()-1),'Master data'!$Q$2:$Q$20,0)),"")</f>
        <v>0</v>
      </c>
      <c r="J3" s="13" t="n">
        <f aca="false">IFERROR(INDEX('Master data'!J$2:J$20,MATCH("Amount Difference|"&amp;(ROW()-1),'Master data'!$Q$2:$Q$20,0)),"")</f>
        <v>9000</v>
      </c>
      <c r="K3" s="13" t="n">
        <f aca="false">IFERROR(INDEX('Master data'!K$2:K$20,MATCH("Amount Difference|"&amp;(ROW()-1),'Master data'!$Q$2:$Q$20,0)),"")</f>
        <v>59000</v>
      </c>
      <c r="L3" s="12" t="str">
        <f aca="false">IFERROR(INDEX('Master data'!L$2:L$20,MATCH("Amount Difference|"&amp;(ROW()-1),'Master data'!$Q$2:$Q$20,0)),"")</f>
        <v>Amount Difference</v>
      </c>
      <c r="M3" s="12" t="str">
        <f aca="false">IFERROR(INDEX('Master data'!M$2:M$20,MATCH("Amount Difference|"&amp;(ROW()-1),'Master data'!$Q$2:$Q$20,0)),"")</f>
        <v>Not reviewed</v>
      </c>
      <c r="N3" s="12" t="str">
        <f aca="false">IFERROR(INDEX('Master data'!N$2:N$20,MATCH("Amount Difference|"&amp;(ROW()-1),'Master data'!$Q$2:$Q$20,0)),"")</f>
        <v>Tax Amount Difference</v>
      </c>
      <c r="O3" s="12" t="str">
        <f aca="false">IFERROR(INDEX('Master data'!O$2:O$20,MATCH("Amount Difference|"&amp;(ROW()-1),'Master data'!$Q$2:$Q$20,0)),"")</f>
        <v>High — 98%</v>
      </c>
      <c r="P3" s="14" t="str">
        <f aca="false">IFERROR(INDEX('Master data'!P$2:P$20,MATCH("Amount Difference|"&amp;(ROW()-1),'Master data'!$Q$2:$Q$20,0)),"")</f>
        <v>Matched on: GSTIN 24AABCS5678G1Z4, invoice SF-2305; Tax Amount Difference: IGST: books ₹4,500.00 vs portal ₹9,000.00.</v>
      </c>
    </row>
    <row r="4" customFormat="false" ht="150.7" hidden="false" customHeight="false" outlineLevel="0" collapsed="false">
      <c r="A4" s="12" t="str">
        <f aca="false">IFERROR(INDEX('Master data'!A$2:A$20,MATCH("Amount Difference|"&amp;(ROW()-1),'Master data'!$Q$2:$Q$20,0)),"")</f>
        <v>OM TRADERS</v>
      </c>
      <c r="B4" s="12" t="str">
        <f aca="false">IFERROR(INDEX('Master data'!B$2:B$20,MATCH("Amount Difference|"&amp;(ROW()-1),'Master data'!$Q$2:$Q$20,0)),"")</f>
        <v>07AAAOP9012H1Z6</v>
      </c>
      <c r="C4" s="12" t="str">
        <f aca="false">IFERROR(INDEX('Master data'!C$2:C$20,MATCH("Amount Difference|"&amp;(ROW()-1),'Master data'!$Q$2:$Q$20,0)),"")</f>
        <v>OT/77</v>
      </c>
      <c r="D4" s="12" t="str">
        <f aca="false">IFERROR(INDEX('Master data'!D$2:D$20,MATCH("Amount Difference|"&amp;(ROW()-1),'Master data'!$Q$2:$Q$20,0)),"")</f>
        <v>12 Sep 2026</v>
      </c>
      <c r="E4" s="13" t="n">
        <f aca="false">IFERROR(INDEX('Master data'!E$2:E$20,MATCH("Amount Difference|"&amp;(ROW()-1),'Master data'!$Q$2:$Q$20,0)),"")</f>
        <v>20000</v>
      </c>
      <c r="F4" s="13" t="n">
        <f aca="false">IFERROR(INDEX('Master data'!F$2:F$20,MATCH("Amount Difference|"&amp;(ROW()-1),'Master data'!$Q$2:$Q$20,0)),"")</f>
        <v>0</v>
      </c>
      <c r="G4" s="13" t="n">
        <f aca="false">IFERROR(INDEX('Master data'!G$2:G$20,MATCH("Amount Difference|"&amp;(ROW()-1),'Master data'!$Q$2:$Q$20,0)),"")</f>
        <v>1800</v>
      </c>
      <c r="H4" s="13" t="n">
        <f aca="false">IFERROR(INDEX('Master data'!H$2:H$20,MATCH("Amount Difference|"&amp;(ROW()-1),'Master data'!$Q$2:$Q$20,0)),"")</f>
        <v>1800</v>
      </c>
      <c r="I4" s="13" t="n">
        <f aca="false">IFERROR(INDEX('Master data'!I$2:I$20,MATCH("Amount Difference|"&amp;(ROW()-1),'Master data'!$Q$2:$Q$20,0)),"")</f>
        <v>0</v>
      </c>
      <c r="J4" s="13" t="n">
        <f aca="false">IFERROR(INDEX('Master data'!J$2:J$20,MATCH("Amount Difference|"&amp;(ROW()-1),'Master data'!$Q$2:$Q$20,0)),"")</f>
        <v>3600</v>
      </c>
      <c r="K4" s="13" t="n">
        <f aca="false">IFERROR(INDEX('Master data'!K$2:K$20,MATCH("Amount Difference|"&amp;(ROW()-1),'Master data'!$Q$2:$Q$20,0)),"")</f>
        <v>23600</v>
      </c>
      <c r="L4" s="12" t="str">
        <f aca="false">IFERROR(INDEX('Master data'!L$2:L$20,MATCH("Amount Difference|"&amp;(ROW()-1),'Master data'!$Q$2:$Q$20,0)),"")</f>
        <v>Amount Difference</v>
      </c>
      <c r="M4" s="12" t="str">
        <f aca="false">IFERROR(INDEX('Master data'!M$2:M$20,MATCH("Amount Difference|"&amp;(ROW()-1),'Master data'!$Q$2:$Q$20,0)),"")</f>
        <v>Not reviewed</v>
      </c>
      <c r="N4" s="12" t="str">
        <f aca="false">IFERROR(INDEX('Master data'!N$2:N$20,MATCH("Amount Difference|"&amp;(ROW()-1),'Master data'!$Q$2:$Q$20,0)),"")</f>
        <v>Tax Split Mismatch</v>
      </c>
      <c r="O4" s="12" t="str">
        <f aca="false">IFERROR(INDEX('Master data'!O$2:O$20,MATCH("Amount Difference|"&amp;(ROW()-1),'Master data'!$Q$2:$Q$20,0)),"")</f>
        <v>High — 98%</v>
      </c>
      <c r="P4" s="14" t="str">
        <f aca="false">IFERROR(INDEX('Master data'!P$2:P$20,MATCH("Amount Difference|"&amp;(ROW()-1),'Master data'!$Q$2:$Q$20,0)),"")</f>
        <v>Matched on: GSTIN 07AAAOP9012H1Z6, invoice OT/77; Tax Split Mismatch: total tax agrees at ₹3,600.00, but components differ — CGST: books ₹0.00 vs portal ₹1,800.00; SGST: books ₹0.00 vs portal ₹1,800.00; IGST: books ₹3,600.00 vs portal ₹0.00. Indicates a place-of-supply difference.</v>
      </c>
    </row>
    <row r="5" customFormat="false" ht="91" hidden="false" customHeight="false" outlineLevel="0" collapsed="false">
      <c r="A5" s="12" t="str">
        <f aca="false">IFERROR(INDEX('Master data'!A$2:A$20,MATCH("Amount Difference|"&amp;(ROW()-1),'Master data'!$Q$2:$Q$20,0)),"")</f>
        <v>RAJESH TEXTILE MILLS</v>
      </c>
      <c r="B5" s="12" t="str">
        <f aca="false">IFERROR(INDEX('Master data'!B$2:B$20,MATCH("Amount Difference|"&amp;(ROW()-1),'Master data'!$Q$2:$Q$20,0)),"")</f>
        <v>07AABCR1234F1Z2</v>
      </c>
      <c r="C5" s="12" t="str">
        <f aca="false">IFERROR(INDEX('Master data'!C$2:C$20,MATCH("Amount Difference|"&amp;(ROW()-1),'Master data'!$Q$2:$Q$20,0)),"")</f>
        <v>RTM/162</v>
      </c>
      <c r="D5" s="12" t="str">
        <f aca="false">IFERROR(INDEX('Master data'!D$2:D$20,MATCH("Amount Difference|"&amp;(ROW()-1),'Master data'!$Q$2:$Q$20,0)),"")</f>
        <v>24 Sep 2026</v>
      </c>
      <c r="E5" s="13" t="n">
        <f aca="false">IFERROR(INDEX('Master data'!E$2:E$20,MATCH("Amount Difference|"&amp;(ROW()-1),'Master data'!$Q$2:$Q$20,0)),"")</f>
        <v>15000</v>
      </c>
      <c r="F5" s="13" t="n">
        <f aca="false">IFERROR(INDEX('Master data'!F$2:F$20,MATCH("Amount Difference|"&amp;(ROW()-1),'Master data'!$Q$2:$Q$20,0)),"")</f>
        <v>0</v>
      </c>
      <c r="G5" s="13" t="n">
        <f aca="false">IFERROR(INDEX('Master data'!G$2:G$20,MATCH("Amount Difference|"&amp;(ROW()-1),'Master data'!$Q$2:$Q$20,0)),"")</f>
        <v>900</v>
      </c>
      <c r="H5" s="13" t="n">
        <f aca="false">IFERROR(INDEX('Master data'!H$2:H$20,MATCH("Amount Difference|"&amp;(ROW()-1),'Master data'!$Q$2:$Q$20,0)),"")</f>
        <v>900</v>
      </c>
      <c r="I5" s="13" t="n">
        <f aca="false">IFERROR(INDEX('Master data'!I$2:I$20,MATCH("Amount Difference|"&amp;(ROW()-1),'Master data'!$Q$2:$Q$20,0)),"")</f>
        <v>0</v>
      </c>
      <c r="J5" s="13" t="n">
        <f aca="false">IFERROR(INDEX('Master data'!J$2:J$20,MATCH("Amount Difference|"&amp;(ROW()-1),'Master data'!$Q$2:$Q$20,0)),"")</f>
        <v>1800</v>
      </c>
      <c r="K5" s="13" t="n">
        <f aca="false">IFERROR(INDEX('Master data'!K$2:K$20,MATCH("Amount Difference|"&amp;(ROW()-1),'Master data'!$Q$2:$Q$20,0)),"")</f>
        <v>16800</v>
      </c>
      <c r="L5" s="12" t="str">
        <f aca="false">IFERROR(INDEX('Master data'!L$2:L$20,MATCH("Amount Difference|"&amp;(ROW()-1),'Master data'!$Q$2:$Q$20,0)),"")</f>
        <v>Amount Difference</v>
      </c>
      <c r="M5" s="12" t="str">
        <f aca="false">IFERROR(INDEX('Master data'!M$2:M$20,MATCH("Amount Difference|"&amp;(ROW()-1),'Master data'!$Q$2:$Q$20,0)),"")</f>
        <v>Not reviewed</v>
      </c>
      <c r="N5" s="12" t="str">
        <f aca="false">IFERROR(INDEX('Master data'!N$2:N$20,MATCH("Amount Difference|"&amp;(ROW()-1),'Master data'!$Q$2:$Q$20,0)),"")</f>
        <v>Tax Amount Difference</v>
      </c>
      <c r="O5" s="12" t="str">
        <f aca="false">IFERROR(INDEX('Master data'!O$2:O$20,MATCH("Amount Difference|"&amp;(ROW()-1),'Master data'!$Q$2:$Q$20,0)),"")</f>
        <v>High — 98%</v>
      </c>
      <c r="P5" s="14" t="str">
        <f aca="false">IFERROR(INDEX('Master data'!P$2:P$20,MATCH("Amount Difference|"&amp;(ROW()-1),'Master data'!$Q$2:$Q$20,0)),"")</f>
        <v>Matched on: GSTIN 07AABCR1234F1Z2, invoice RTM/162; Tax Amount Difference: CGST: books ₹1,350.00 vs portal ₹900.00; SGST: books ₹1,350.00 vs portal ₹900.00.</v>
      </c>
    </row>
    <row r="6" customFormat="false" ht="15" hidden="false" customHeight="false" outlineLevel="0" collapsed="false">
      <c r="A6" s="2" t="s">
        <v>28</v>
      </c>
      <c r="E6" s="21" t="n">
        <f aca="false">SUM(E2:E5)</f>
        <v>120000</v>
      </c>
      <c r="F6" s="21" t="n">
        <f aca="false">SUM(F2:F5)</f>
        <v>9000</v>
      </c>
      <c r="G6" s="21" t="n">
        <f aca="false">SUM(G2:G5)</f>
        <v>5850</v>
      </c>
      <c r="H6" s="21" t="n">
        <f aca="false">SUM(H2:H5)</f>
        <v>5850</v>
      </c>
      <c r="I6" s="21" t="n">
        <f aca="false">SUM(I2:I5)</f>
        <v>0</v>
      </c>
      <c r="J6" s="21" t="n">
        <f aca="false">SUM(J2:J5)</f>
        <v>20700</v>
      </c>
      <c r="K6" s="21" t="n">
        <f aca="false">SUM(K2:K5)</f>
        <v>140700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23</v>
      </c>
      <c r="K1" s="7" t="s">
        <v>24</v>
      </c>
      <c r="L1" s="7" t="s">
        <v>21</v>
      </c>
      <c r="M1" s="7" t="s">
        <v>71</v>
      </c>
      <c r="N1" s="7" t="s">
        <v>72</v>
      </c>
      <c r="O1" s="7" t="s">
        <v>73</v>
      </c>
      <c r="P1" s="7" t="s">
        <v>74</v>
      </c>
    </row>
    <row r="2" customFormat="false" ht="76.1" hidden="false" customHeight="false" outlineLevel="0" collapsed="false">
      <c r="A2" s="18" t="str">
        <f aca="false">IFERROR(INDEX('Master data'!A$2:A$20,MATCH("Not in Books|"&amp;(ROW()-1),'Master data'!$Q$2:$Q$20,0)),"")</f>
        <v>Prime Packaging Solutions</v>
      </c>
      <c r="B2" s="18" t="str">
        <f aca="false">IFERROR(INDEX('Master data'!B$2:B$20,MATCH("Not in Books|"&amp;(ROW()-1),'Master data'!$Q$2:$Q$20,0)),"")</f>
        <v>07AABCP7890M1Z3</v>
      </c>
      <c r="C2" s="18" t="str">
        <f aca="false">IFERROR(INDEX('Master data'!C$2:C$20,MATCH("Not in Books|"&amp;(ROW()-1),'Master data'!$Q$2:$Q$20,0)),"")</f>
        <v>PPS/912</v>
      </c>
      <c r="D2" s="18" t="str">
        <f aca="false">IFERROR(INDEX('Master data'!D$2:D$20,MATCH("Not in Books|"&amp;(ROW()-1),'Master data'!$Q$2:$Q$20,0)),"")</f>
        <v>09 Sep 2026</v>
      </c>
      <c r="E2" s="19" t="n">
        <f aca="false">IFERROR(INDEX('Master data'!E$2:E$20,MATCH("Not in Books|"&amp;(ROW()-1),'Master data'!$Q$2:$Q$20,0)),"")</f>
        <v>9500</v>
      </c>
      <c r="F2" s="19" t="n">
        <f aca="false">IFERROR(INDEX('Master data'!F$2:F$20,MATCH("Not in Books|"&amp;(ROW()-1),'Master data'!$Q$2:$Q$20,0)),"")</f>
        <v>0</v>
      </c>
      <c r="G2" s="19" t="n">
        <f aca="false">IFERROR(INDEX('Master data'!G$2:G$20,MATCH("Not in Books|"&amp;(ROW()-1),'Master data'!$Q$2:$Q$20,0)),"")</f>
        <v>855</v>
      </c>
      <c r="H2" s="19" t="n">
        <f aca="false">IFERROR(INDEX('Master data'!H$2:H$20,MATCH("Not in Books|"&amp;(ROW()-1),'Master data'!$Q$2:$Q$20,0)),"")</f>
        <v>855</v>
      </c>
      <c r="I2" s="19" t="n">
        <f aca="false">IFERROR(INDEX('Master data'!I$2:I$20,MATCH("Not in Books|"&amp;(ROW()-1),'Master data'!$Q$2:$Q$20,0)),"")</f>
        <v>0</v>
      </c>
      <c r="J2" s="19" t="n">
        <f aca="false">IFERROR(INDEX('Master data'!J$2:J$20,MATCH("Not in Books|"&amp;(ROW()-1),'Master data'!$Q$2:$Q$20,0)),"")</f>
        <v>1710</v>
      </c>
      <c r="K2" s="19" t="n">
        <f aca="false">IFERROR(INDEX('Master data'!K$2:K$20,MATCH("Not in Books|"&amp;(ROW()-1),'Master data'!$Q$2:$Q$20,0)),"")</f>
        <v>11210</v>
      </c>
      <c r="L2" s="18" t="str">
        <f aca="false">IFERROR(INDEX('Master data'!L$2:L$20,MATCH("Not in Books|"&amp;(ROW()-1),'Master data'!$Q$2:$Q$20,0)),"")</f>
        <v>Not in Books</v>
      </c>
      <c r="M2" s="18" t="str">
        <f aca="false">IFERROR(INDEX('Master data'!M$2:M$20,MATCH("Not in Books|"&amp;(ROW()-1),'Master data'!$Q$2:$Q$20,0)),"")</f>
        <v>Not reviewed</v>
      </c>
      <c r="N2" s="18" t="n">
        <f aca="false">IFERROR(INDEX('Master data'!N$2:N$20,MATCH("Not in Books|"&amp;(ROW()-1),'Master data'!$Q$2:$Q$20,0)),"")</f>
        <v>0</v>
      </c>
      <c r="O2" s="18" t="str">
        <f aca="false">IFERROR(INDEX('Master data'!O$2:O$20,MATCH("Not in Books|"&amp;(ROW()-1),'Master data'!$Q$2:$Q$20,0)),"")</f>
        <v>Low — 0%</v>
      </c>
      <c r="P2" s="20" t="str">
        <f aca="false">IFERROR(INDEX('Master data'!P$2:P$20,MATCH("Not in Books|"&amp;(ROW()-1),'Master data'!$Q$2:$Q$20,0)),"")</f>
        <v>Not in Books: GSTIN 07AABCP7890M1Z3, invoice PPS/912, ₹11,210.00 — no matching book entry found across any pass.</v>
      </c>
    </row>
    <row r="3" customFormat="false" ht="15" hidden="false" customHeight="false" outlineLevel="0" collapsed="false">
      <c r="A3" s="2" t="s">
        <v>28</v>
      </c>
      <c r="E3" s="21" t="n">
        <f aca="false">SUM(E2:E2)</f>
        <v>9500</v>
      </c>
      <c r="F3" s="21" t="n">
        <f aca="false">SUM(F2:F2)</f>
        <v>0</v>
      </c>
      <c r="G3" s="21" t="n">
        <f aca="false">SUM(G2:G2)</f>
        <v>855</v>
      </c>
      <c r="H3" s="21" t="n">
        <f aca="false">SUM(H2:H2)</f>
        <v>855</v>
      </c>
      <c r="I3" s="21" t="n">
        <f aca="false">SUM(I2:I2)</f>
        <v>0</v>
      </c>
      <c r="J3" s="21" t="n">
        <f aca="false">SUM(J2:J2)</f>
        <v>1710</v>
      </c>
      <c r="K3" s="21" t="n">
        <f aca="false">SUM(K2:K2)</f>
        <v>11210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23</v>
      </c>
      <c r="K1" s="7" t="s">
        <v>24</v>
      </c>
      <c r="L1" s="7" t="s">
        <v>21</v>
      </c>
      <c r="M1" s="7" t="s">
        <v>71</v>
      </c>
      <c r="N1" s="7" t="s">
        <v>72</v>
      </c>
      <c r="O1" s="7" t="s">
        <v>73</v>
      </c>
      <c r="P1" s="7" t="s">
        <v>74</v>
      </c>
    </row>
    <row r="2" customFormat="false" ht="195.5" hidden="false" customHeight="false" outlineLevel="0" collapsed="false">
      <c r="A2" s="15" t="str">
        <f aca="false">IFERROR(INDEX('Master data'!A$2:A$20,MATCH("Not in Portal|"&amp;(ROW()-1),'Master data'!$Q$2:$Q$20,0)),"")</f>
        <v>OM TRADERS</v>
      </c>
      <c r="B2" s="15" t="str">
        <f aca="false">IFERROR(INDEX('Master data'!B$2:B$20,MATCH("Not in Portal|"&amp;(ROW()-1),'Master data'!$Q$2:$Q$20,0)),"")</f>
        <v>07AAAOP9012H1Z6</v>
      </c>
      <c r="C2" s="15" t="str">
        <f aca="false">IFERROR(INDEX('Master data'!C$2:C$20,MATCH("Not in Portal|"&amp;(ROW()-1),'Master data'!$Q$2:$Q$20,0)),"")</f>
        <v>OT/85</v>
      </c>
      <c r="D2" s="15" t="str">
        <f aca="false">IFERROR(INDEX('Master data'!D$2:D$20,MATCH("Not in Portal|"&amp;(ROW()-1),'Master data'!$Q$2:$Q$20,0)),"")</f>
        <v>15 Sep 2026</v>
      </c>
      <c r="E2" s="16" t="n">
        <f aca="false">IFERROR(INDEX('Master data'!E$2:E$20,MATCH("Not in Portal|"&amp;(ROW()-1),'Master data'!$Q$2:$Q$20,0)),"")</f>
        <v>12000</v>
      </c>
      <c r="F2" s="16" t="n">
        <f aca="false">IFERROR(INDEX('Master data'!F$2:F$20,MATCH("Not in Portal|"&amp;(ROW()-1),'Master data'!$Q$2:$Q$20,0)),"")</f>
        <v>0</v>
      </c>
      <c r="G2" s="16" t="n">
        <f aca="false">IFERROR(INDEX('Master data'!G$2:G$20,MATCH("Not in Portal|"&amp;(ROW()-1),'Master data'!$Q$2:$Q$20,0)),"")</f>
        <v>1080</v>
      </c>
      <c r="H2" s="16" t="n">
        <f aca="false">IFERROR(INDEX('Master data'!H$2:H$20,MATCH("Not in Portal|"&amp;(ROW()-1),'Master data'!$Q$2:$Q$20,0)),"")</f>
        <v>1080</v>
      </c>
      <c r="I2" s="16" t="n">
        <f aca="false">IFERROR(INDEX('Master data'!I$2:I$20,MATCH("Not in Portal|"&amp;(ROW()-1),'Master data'!$Q$2:$Q$20,0)),"")</f>
        <v>0</v>
      </c>
      <c r="J2" s="16" t="n">
        <f aca="false">IFERROR(INDEX('Master data'!J$2:J$20,MATCH("Not in Portal|"&amp;(ROW()-1),'Master data'!$Q$2:$Q$20,0)),"")</f>
        <v>2160</v>
      </c>
      <c r="K2" s="16" t="n">
        <f aca="false">IFERROR(INDEX('Master data'!K$2:K$20,MATCH("Not in Portal|"&amp;(ROW()-1),'Master data'!$Q$2:$Q$20,0)),"")</f>
        <v>14160</v>
      </c>
      <c r="L2" s="15" t="str">
        <f aca="false">IFERROR(INDEX('Master data'!L$2:L$20,MATCH("Not in Portal|"&amp;(ROW()-1),'Master data'!$Q$2:$Q$20,0)),"")</f>
        <v>Not in Portal</v>
      </c>
      <c r="M2" s="15" t="str">
        <f aca="false">IFERROR(INDEX('Master data'!M$2:M$20,MATCH("Not in Portal|"&amp;(ROW()-1),'Master data'!$Q$2:$Q$20,0)),"")</f>
        <v>Not reviewed</v>
      </c>
      <c r="N2" s="15" t="str">
        <f aca="false">IFERROR(INDEX('Master data'!N$2:N$20,MATCH("Not in Portal|"&amp;(ROW()-1),'Master data'!$Q$2:$Q$20,0)),"")</f>
        <v>Duplicate in Books</v>
      </c>
      <c r="O2" s="15" t="str">
        <f aca="false">IFERROR(INDEX('Master data'!O$2:O$20,MATCH("Not in Portal|"&amp;(ROW()-1),'Master data'!$Q$2:$Q$20,0)),"")</f>
        <v>Low — 0%</v>
      </c>
      <c r="P2" s="17" t="str">
        <f aca="false">IFERROR(INDEX('Master data'!P$2:P$20,MATCH("Not in Portal|"&amp;(ROW()-1),'Master data'!$Q$2:$Q$20,0)),"")</f>
        <v>Not in Portal: GSTIN 07AAAOP9012H1Z6, invoice OT/85, ₹14,160.00 — no candidate in any pass, and no adjacent-period file was supplied to check for late filing. Duplicate in Books: this GSTIN + invoice number appears 2 times in the books, and one copy was already matched. This surplus copy is the additional ITC claim and is reported separately rather than compared a second time.</v>
      </c>
    </row>
    <row r="3" customFormat="false" ht="91" hidden="false" customHeight="false" outlineLevel="0" collapsed="false">
      <c r="A3" s="15" t="str">
        <f aca="false">IFERROR(INDEX('Master data'!A$2:A$20,MATCH("Not in Portal|"&amp;(ROW()-1),'Master data'!$Q$2:$Q$20,0)),"")</f>
        <v>GLOBAL LOGISTICS CO</v>
      </c>
      <c r="B3" s="15" t="str">
        <f aca="false">IFERROR(INDEX('Master data'!B$2:B$20,MATCH("Not in Portal|"&amp;(ROW()-1),'Master data'!$Q$2:$Q$20,0)),"")</f>
        <v>06AABCG3456L1Z9</v>
      </c>
      <c r="C3" s="15" t="str">
        <f aca="false">IFERROR(INDEX('Master data'!C$2:C$20,MATCH("Not in Portal|"&amp;(ROW()-1),'Master data'!$Q$2:$Q$20,0)),"")</f>
        <v>GL/551</v>
      </c>
      <c r="D3" s="15" t="str">
        <f aca="false">IFERROR(INDEX('Master data'!D$2:D$20,MATCH("Not in Portal|"&amp;(ROW()-1),'Master data'!$Q$2:$Q$20,0)),"")</f>
        <v>20 Sep 2026</v>
      </c>
      <c r="E3" s="16" t="n">
        <f aca="false">IFERROR(INDEX('Master data'!E$2:E$20,MATCH("Not in Portal|"&amp;(ROW()-1),'Master data'!$Q$2:$Q$20,0)),"")</f>
        <v>28000</v>
      </c>
      <c r="F3" s="16" t="n">
        <f aca="false">IFERROR(INDEX('Master data'!F$2:F$20,MATCH("Not in Portal|"&amp;(ROW()-1),'Master data'!$Q$2:$Q$20,0)),"")</f>
        <v>5040</v>
      </c>
      <c r="G3" s="16" t="n">
        <f aca="false">IFERROR(INDEX('Master data'!G$2:G$20,MATCH("Not in Portal|"&amp;(ROW()-1),'Master data'!$Q$2:$Q$20,0)),"")</f>
        <v>0</v>
      </c>
      <c r="H3" s="16" t="n">
        <f aca="false">IFERROR(INDEX('Master data'!H$2:H$20,MATCH("Not in Portal|"&amp;(ROW()-1),'Master data'!$Q$2:$Q$20,0)),"")</f>
        <v>0</v>
      </c>
      <c r="I3" s="16" t="n">
        <f aca="false">IFERROR(INDEX('Master data'!I$2:I$20,MATCH("Not in Portal|"&amp;(ROW()-1),'Master data'!$Q$2:$Q$20,0)),"")</f>
        <v>0</v>
      </c>
      <c r="J3" s="16" t="n">
        <f aca="false">IFERROR(INDEX('Master data'!J$2:J$20,MATCH("Not in Portal|"&amp;(ROW()-1),'Master data'!$Q$2:$Q$20,0)),"")</f>
        <v>5040</v>
      </c>
      <c r="K3" s="16" t="n">
        <f aca="false">IFERROR(INDEX('Master data'!K$2:K$20,MATCH("Not in Portal|"&amp;(ROW()-1),'Master data'!$Q$2:$Q$20,0)),"")</f>
        <v>33040</v>
      </c>
      <c r="L3" s="15" t="str">
        <f aca="false">IFERROR(INDEX('Master data'!L$2:L$20,MATCH("Not in Portal|"&amp;(ROW()-1),'Master data'!$Q$2:$Q$20,0)),"")</f>
        <v>Not in Portal</v>
      </c>
      <c r="M3" s="15" t="str">
        <f aca="false">IFERROR(INDEX('Master data'!M$2:M$20,MATCH("Not in Portal|"&amp;(ROW()-1),'Master data'!$Q$2:$Q$20,0)),"")</f>
        <v>Not reviewed</v>
      </c>
      <c r="N3" s="15" t="n">
        <f aca="false">IFERROR(INDEX('Master data'!N$2:N$20,MATCH("Not in Portal|"&amp;(ROW()-1),'Master data'!$Q$2:$Q$20,0)),"")</f>
        <v>0</v>
      </c>
      <c r="O3" s="15" t="str">
        <f aca="false">IFERROR(INDEX('Master data'!O$2:O$20,MATCH("Not in Portal|"&amp;(ROW()-1),'Master data'!$Q$2:$Q$20,0)),"")</f>
        <v>Low — 0%</v>
      </c>
      <c r="P3" s="17" t="str">
        <f aca="false">IFERROR(INDEX('Master data'!P$2:P$20,MATCH("Not in Portal|"&amp;(ROW()-1),'Master data'!$Q$2:$Q$20,0)),"")</f>
        <v>Not in Portal: GSTIN 06AABCG3456L1Z9, invoice GL/551, ₹33,040.00 — no candidate in any pass, and no adjacent-period file was supplied to check for late filing.</v>
      </c>
    </row>
    <row r="4" customFormat="false" ht="91" hidden="false" customHeight="false" outlineLevel="0" collapsed="false">
      <c r="A4" s="15" t="str">
        <f aca="false">IFERROR(INDEX('Master data'!A$2:A$20,MATCH("Not in Portal|"&amp;(ROW()-1),'Master data'!$Q$2:$Q$20,0)),"")</f>
        <v>VIKAS ENTERPRISES</v>
      </c>
      <c r="B4" s="15" t="str">
        <f aca="false">IFERROR(INDEX('Master data'!B$2:B$20,MATCH("Not in Portal|"&amp;(ROW()-1),'Master data'!$Q$2:$Q$20,0)),"")</f>
        <v>07AABCV6789K1Z8</v>
      </c>
      <c r="C4" s="15" t="str">
        <f aca="false">IFERROR(INDEX('Master data'!C$2:C$20,MATCH("Not in Portal|"&amp;(ROW()-1),'Master data'!$Q$2:$Q$20,0)),"")</f>
        <v>VE-250</v>
      </c>
      <c r="D4" s="15" t="str">
        <f aca="false">IFERROR(INDEX('Master data'!D$2:D$20,MATCH("Not in Portal|"&amp;(ROW()-1),'Master data'!$Q$2:$Q$20,0)),"")</f>
        <v>18 Sep 2026</v>
      </c>
      <c r="E4" s="16" t="n">
        <f aca="false">IFERROR(INDEX('Master data'!E$2:E$20,MATCH("Not in Portal|"&amp;(ROW()-1),'Master data'!$Q$2:$Q$20,0)),"")</f>
        <v>9000</v>
      </c>
      <c r="F4" s="16" t="n">
        <f aca="false">IFERROR(INDEX('Master data'!F$2:F$20,MATCH("Not in Portal|"&amp;(ROW()-1),'Master data'!$Q$2:$Q$20,0)),"")</f>
        <v>0</v>
      </c>
      <c r="G4" s="16" t="n">
        <f aca="false">IFERROR(INDEX('Master data'!G$2:G$20,MATCH("Not in Portal|"&amp;(ROW()-1),'Master data'!$Q$2:$Q$20,0)),"")</f>
        <v>810</v>
      </c>
      <c r="H4" s="16" t="n">
        <f aca="false">IFERROR(INDEX('Master data'!H$2:H$20,MATCH("Not in Portal|"&amp;(ROW()-1),'Master data'!$Q$2:$Q$20,0)),"")</f>
        <v>810</v>
      </c>
      <c r="I4" s="16" t="n">
        <f aca="false">IFERROR(INDEX('Master data'!I$2:I$20,MATCH("Not in Portal|"&amp;(ROW()-1),'Master data'!$Q$2:$Q$20,0)),"")</f>
        <v>0</v>
      </c>
      <c r="J4" s="16" t="n">
        <f aca="false">IFERROR(INDEX('Master data'!J$2:J$20,MATCH("Not in Portal|"&amp;(ROW()-1),'Master data'!$Q$2:$Q$20,0)),"")</f>
        <v>1620</v>
      </c>
      <c r="K4" s="16" t="n">
        <f aca="false">IFERROR(INDEX('Master data'!K$2:K$20,MATCH("Not in Portal|"&amp;(ROW()-1),'Master data'!$Q$2:$Q$20,0)),"")</f>
        <v>10620</v>
      </c>
      <c r="L4" s="15" t="str">
        <f aca="false">IFERROR(INDEX('Master data'!L$2:L$20,MATCH("Not in Portal|"&amp;(ROW()-1),'Master data'!$Q$2:$Q$20,0)),"")</f>
        <v>Not in Portal</v>
      </c>
      <c r="M4" s="15" t="str">
        <f aca="false">IFERROR(INDEX('Master data'!M$2:M$20,MATCH("Not in Portal|"&amp;(ROW()-1),'Master data'!$Q$2:$Q$20,0)),"")</f>
        <v>Not reviewed</v>
      </c>
      <c r="N4" s="15" t="n">
        <f aca="false">IFERROR(INDEX('Master data'!N$2:N$20,MATCH("Not in Portal|"&amp;(ROW()-1),'Master data'!$Q$2:$Q$20,0)),"")</f>
        <v>0</v>
      </c>
      <c r="O4" s="15" t="str">
        <f aca="false">IFERROR(INDEX('Master data'!O$2:O$20,MATCH("Not in Portal|"&amp;(ROW()-1),'Master data'!$Q$2:$Q$20,0)),"")</f>
        <v>Low — 0%</v>
      </c>
      <c r="P4" s="17" t="str">
        <f aca="false">IFERROR(INDEX('Master data'!P$2:P$20,MATCH("Not in Portal|"&amp;(ROW()-1),'Master data'!$Q$2:$Q$20,0)),"")</f>
        <v>Not in Portal: GSTIN 07AABCV6789K1Z8, invoice VE-250, ₹10,620.00 — no candidate in any pass, and no adjacent-period file was supplied to check for late filing.</v>
      </c>
    </row>
    <row r="5" customFormat="false" ht="15" hidden="false" customHeight="false" outlineLevel="0" collapsed="false">
      <c r="A5" s="2" t="s">
        <v>28</v>
      </c>
      <c r="E5" s="21" t="n">
        <f aca="false">SUM(E2:E4)</f>
        <v>49000</v>
      </c>
      <c r="F5" s="21" t="n">
        <f aca="false">SUM(F2:F4)</f>
        <v>5040</v>
      </c>
      <c r="G5" s="21" t="n">
        <f aca="false">SUM(G2:G4)</f>
        <v>1890</v>
      </c>
      <c r="H5" s="21" t="n">
        <f aca="false">SUM(H2:H4)</f>
        <v>1890</v>
      </c>
      <c r="I5" s="21" t="n">
        <f aca="false">SUM(I2:I4)</f>
        <v>0</v>
      </c>
      <c r="J5" s="21" t="n">
        <f aca="false">SUM(J2:J4)</f>
        <v>8820</v>
      </c>
      <c r="K5" s="21" t="n">
        <f aca="false">SUM(K2:K4)</f>
        <v>57820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161</v>
      </c>
      <c r="D1" s="7" t="s">
        <v>162</v>
      </c>
      <c r="E1" s="7" t="s">
        <v>163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23</v>
      </c>
      <c r="L1" s="7" t="s">
        <v>164</v>
      </c>
      <c r="M1" s="7" t="s">
        <v>165</v>
      </c>
      <c r="N1" s="7" t="s">
        <v>166</v>
      </c>
    </row>
    <row r="2" customFormat="false" ht="15" hidden="false" customHeight="false" outlineLevel="0" collapsed="false">
      <c r="A2" s="0" t="s">
        <v>167</v>
      </c>
      <c r="B2" s="0" t="s">
        <v>84</v>
      </c>
      <c r="C2" s="0" t="s">
        <v>168</v>
      </c>
      <c r="D2" s="0" t="s">
        <v>169</v>
      </c>
      <c r="E2" s="0" t="s">
        <v>170</v>
      </c>
      <c r="F2" s="3" t="n">
        <v>3400</v>
      </c>
      <c r="G2" s="3" t="n">
        <v>612</v>
      </c>
      <c r="H2" s="3" t="n">
        <v>0</v>
      </c>
      <c r="I2" s="3" t="n">
        <v>0</v>
      </c>
      <c r="J2" s="3" t="n">
        <v>0</v>
      </c>
      <c r="K2" s="3" t="n">
        <v>612</v>
      </c>
      <c r="L2" s="3" t="n">
        <v>4012</v>
      </c>
      <c r="M2" s="22" t="s">
        <v>171</v>
      </c>
      <c r="N2" s="22" t="s">
        <v>172</v>
      </c>
    </row>
    <row r="3" customFormat="false" ht="15" hidden="false" customHeight="false" outlineLevel="0" collapsed="false">
      <c r="A3" s="0" t="s">
        <v>173</v>
      </c>
      <c r="B3" s="0" t="s">
        <v>77</v>
      </c>
      <c r="C3" s="0" t="s">
        <v>174</v>
      </c>
      <c r="D3" s="0" t="s">
        <v>169</v>
      </c>
      <c r="E3" s="0" t="s">
        <v>175</v>
      </c>
      <c r="F3" s="3" t="n">
        <v>2000</v>
      </c>
      <c r="G3" s="3" t="n">
        <v>0</v>
      </c>
      <c r="H3" s="3" t="n">
        <v>180</v>
      </c>
      <c r="I3" s="3" t="n">
        <v>180</v>
      </c>
      <c r="J3" s="3" t="n">
        <v>0</v>
      </c>
      <c r="K3" s="3" t="n">
        <v>360</v>
      </c>
      <c r="L3" s="3" t="n">
        <v>2360</v>
      </c>
      <c r="M3" s="22" t="s">
        <v>171</v>
      </c>
      <c r="N3" s="2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2026-09-26T13:15:46Z</dcterms:created>
  <dc:creator>openpyxl</dc:creator>
  <dc:description/>
  <dc:language>en-US</dc:language>
  <cp:lastModifiedBy/>
  <dcterms:modified xsi:type="dcterms:W3CDTF">2026-09-26T13:15:46Z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