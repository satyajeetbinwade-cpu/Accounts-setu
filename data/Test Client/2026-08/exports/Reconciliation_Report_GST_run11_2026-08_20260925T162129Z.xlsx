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ST Invoices" sheetId="2" state="visible" r:id="rId2"/>
    <sheet xmlns:r="http://schemas.openxmlformats.org/officeDocument/2006/relationships" name="Credit Notes" sheetId="3" state="visible" r:id="rId3"/>
    <sheet xmlns:r="http://schemas.openxmlformats.org/officeDocument/2006/relationships" name="Data Quality" sheetId="4" state="visible" r:id="rId4"/>
  </sheets>
  <definedNames>
    <definedName name="_xlnm.Print_Titles" localSheetId="0">'Overview'!$1:$1</definedName>
    <definedName name="_xlnm.Print_Titles" localSheetId="1">'GST Invoices'!$1:$1</definedName>
    <definedName name="_xlnm.Print_Titles" localSheetId="2">'Credit Notes'!$1:$1</definedName>
    <definedName name="_xlnm.Print_Titles" localSheetId="3">'Data Quality'!$1:$1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E4F4EA"/>
      </patternFill>
    </fill>
    <fill>
      <patternFill patternType="solid">
        <fgColor rgb="00FDEBEA"/>
      </patternFill>
    </fill>
  </fills>
  <borders count="2">
    <border>
      <left/>
      <right/>
      <top/>
      <bottom/>
      <diagonal/>
    </border>
    <border>
      <bottom style="thin">
        <color rgb="00E7E9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44" customWidth="1" min="3" max="3"/>
  </cols>
  <sheetData>
    <row r="1">
      <c r="A1" s="1" t="inlineStr">
        <is>
          <t>GST Reconciliation Report</t>
        </is>
      </c>
    </row>
    <row r="2">
      <c r="A2" t="inlineStr">
        <is>
          <t>Test Client · Aug 2026 · Run 11 · GSTIN 07AAXFS9006M1ZC</t>
        </is>
      </c>
    </row>
    <row r="3">
      <c r="A3" t="inlineStr">
        <is>
          <t>Generated 25 Sep 2026 16:21 UTC</t>
        </is>
      </c>
    </row>
    <row r="4">
      <c r="A4" t="inlineStr">
        <is>
          <t>Source files: 082026_07AAACP9472A1ZJ_GSTR2B_15092026 (1).xlsx, PurchaseRegister(Bill-wise) (1).xlsx</t>
        </is>
      </c>
    </row>
    <row r="6">
      <c r="A6" s="2" t="inlineStr">
        <is>
          <t>Key figures (live formulas)</t>
        </is>
      </c>
    </row>
    <row r="7">
      <c r="A7" t="inlineStr">
        <is>
          <t>ITC at stake (tax on Not in Books)</t>
        </is>
      </c>
      <c r="B7" s="3">
        <f>SUMIF('GST Invoices'!$L$2:$L$100000,"Not in Books",'GST Invoices'!$J$2:$J$100000)</f>
        <v/>
      </c>
      <c r="C7" s="4" t="inlineStr">
        <is>
          <t>§1 headline — tax, not gross invoice value</t>
        </is>
      </c>
    </row>
    <row r="8">
      <c r="A8" t="inlineStr">
        <is>
          <t>Period ITC (total tax in run)</t>
        </is>
      </c>
      <c r="B8" s="3">
        <f>SUM('GST Invoices'!$J$2:$J$100000)</f>
        <v/>
      </c>
    </row>
    <row r="9">
      <c r="A9" t="inlineStr">
        <is>
          <t>ITC at stake % of period ITC</t>
        </is>
      </c>
      <c r="B9" s="5">
        <f>IFERROR(B7/B8,0)</f>
        <v/>
      </c>
    </row>
    <row r="10">
      <c r="A10" t="inlineStr">
        <is>
          <t>Invoices</t>
        </is>
      </c>
      <c r="B10" s="6">
        <f>COUNTA('GST Invoices'!$A$2:$A$100000)</f>
        <v/>
      </c>
    </row>
    <row r="11">
      <c r="A11" t="inlineStr">
        <is>
          <t>Matched</t>
        </is>
      </c>
      <c r="B11" s="6">
        <f>COUNTIF('GST Invoices'!$L$2:$L$100000,"Matched")</f>
        <v/>
      </c>
    </row>
    <row r="12">
      <c r="A12" t="inlineStr">
        <is>
          <t>Exceptions</t>
        </is>
      </c>
      <c r="B12" s="6">
        <f>COUNTA('GST Invoices'!$A$2:$A$100000)-COUNTIF('GST Invoices'!$L$2:$L$100000,"Matched")</f>
        <v/>
      </c>
    </row>
    <row r="13">
      <c r="A13" t="inlineStr">
        <is>
          <t>Not in books</t>
        </is>
      </c>
      <c r="B13" s="6">
        <f>COUNTIF('GST Invoices'!$L$2:$L$100000,"Not in Books")</f>
        <v/>
      </c>
    </row>
    <row r="14">
      <c r="A14" t="inlineStr">
        <is>
          <t>Not in portal</t>
        </is>
      </c>
      <c r="B14" s="6">
        <f>COUNTIF('GST Invoices'!$L$2:$L$100000,"Not in Portal")</f>
        <v/>
      </c>
    </row>
    <row r="15">
      <c r="A15" t="inlineStr">
        <is>
          <t>Amount difference</t>
        </is>
      </c>
      <c r="B15" s="6">
        <f>COUNTIF('GST Invoices'!$L$2:$L$100000,"Amount Difference")</f>
        <v/>
      </c>
    </row>
    <row r="16">
      <c r="A16" t="inlineStr">
        <is>
          <t>Credit notes</t>
        </is>
      </c>
      <c r="B16" s="6">
        <f>COUNTA('Credit Notes'!$A$2:$A$100000)</f>
        <v/>
      </c>
      <c r="C16" s="4" t="inlineStr">
        <is>
          <t>tracked separately from invoices</t>
        </is>
      </c>
    </row>
    <row r="17">
      <c r="A17" t="inlineStr">
        <is>
          <t>Credit note tax</t>
        </is>
      </c>
      <c r="B17" s="3">
        <f>SUM('Credit Notes'!$K$2:$K$100000)</f>
        <v/>
      </c>
      <c r="C17" s="4" t="inlineStr">
        <is>
          <t>not reconciled this run</t>
        </is>
      </c>
    </row>
    <row r="18">
      <c r="A18" t="inlineStr">
        <is>
          <t>Gross invoice value on exceptions (context only)</t>
        </is>
      </c>
      <c r="B18" s="3">
        <f>SUMIF('GST Invoices'!$L$2:$L$100000,"&lt;&gt;Matched",'GST Invoices'!$J$2:$J$100000)</f>
        <v/>
      </c>
      <c r="C18" s="4" t="inlineStr">
        <is>
          <t>tax basis; see detail sheets for invoice value</t>
        </is>
      </c>
    </row>
    <row r="20">
      <c r="A20" s="2" t="inlineStr">
        <is>
          <t>Credit-note detail (from the portal file)</t>
        </is>
      </c>
    </row>
    <row r="21">
      <c r="A21" t="inlineStr">
        <is>
          <t>Credit note tax total</t>
        </is>
      </c>
      <c r="B21" s="3">
        <f>SUM('Credit Notes'!$K$2:$K$100000)</f>
        <v/>
      </c>
    </row>
    <row r="22">
      <c r="A22" t="inlineStr">
        <is>
          <t>Credit note count</t>
        </is>
      </c>
      <c r="B22" s="6">
        <f>COUNTA('Credit Notes'!$A$2:$A$100000)</f>
        <v/>
      </c>
    </row>
    <row r="24">
      <c r="A24" s="2" t="inlineStr">
        <is>
          <t>Data quality &amp; scope notes</t>
        </is>
      </c>
    </row>
    <row r="25">
      <c r="A25" s="2" t="inlineStr">
        <is>
          <t>Rounding adjustments on 31 invoice(s)</t>
        </is>
      </c>
    </row>
    <row r="26">
      <c r="A26" s="7" t="inlineStr">
        <is>
          <t>31 source rows carry a non-zero rounding/round-off residual. The engine keeps it out of the taxable and tax totals and folds it into the invoice value.</t>
        </is>
      </c>
    </row>
    <row r="27">
      <c r="A27" s="7" t="inlineStr">
        <is>
          <t>Rounding residuals are normal in Indian invoices but a persistent pattern can hide a mapping offset.</t>
        </is>
      </c>
    </row>
    <row r="28">
      <c r="A28" s="7" t="inlineStr">
        <is>
          <t>No action needed unless the residuals are large or one-sided; if so, check the 'Other Amt.' column mapping.</t>
        </is>
      </c>
    </row>
    <row r="29">
      <c r="A29" s="2" t="inlineStr">
        <is>
          <t>TDS is not reconciled in this run</t>
        </is>
      </c>
    </row>
    <row r="30">
      <c r="A30" s="7" t="inlineStr">
        <is>
          <t>This run reconciled GST only. No Form 26AS or TDS return was part of it.</t>
        </is>
      </c>
    </row>
    <row r="31">
      <c r="A31" s="7" t="inlineStr">
        <is>
          <t>Deduction, deposit and 26AS reflection cannot be checked without those files, so any TDS position is unverified.</t>
        </is>
      </c>
    </row>
    <row r="32">
      <c r="A32" s="7" t="inlineStr">
        <is>
          <t>Upload the Form 26AS and TDS source files and run a TDS reconciliation.</t>
        </is>
      </c>
    </row>
    <row r="33">
      <c r="A33" s="2" t="inlineStr">
        <is>
          <t>4 record(s) have no books side</t>
        </is>
      </c>
    </row>
    <row r="34">
      <c r="A34" s="7" t="inlineStr">
        <is>
          <t>These were seen only on the portal, so no books value could be compared.</t>
        </is>
      </c>
    </row>
    <row r="35">
      <c r="A35" s="7" t="inlineStr">
        <is>
          <t>They widen the difference without a counterpart amount to net against.</t>
        </is>
      </c>
    </row>
    <row r="36">
      <c r="A36" s="7" t="inlineStr">
        <is>
          <t>Confirm whether they are booked under another ledger or genuinely missing.</t>
        </is>
      </c>
    </row>
    <row r="37">
      <c r="A37" s="2" t="inlineStr">
        <is>
          <t>Tax-component comparison (CGST/SGST/IGST/Cess)</t>
        </is>
      </c>
    </row>
    <row r="38">
      <c r="A38" s="7" t="inlineStr">
        <is>
          <t>Tax-component comparison (CGST/SGST/IGST/Cess) — not available (cess not mapped), so this check is skipped.</t>
        </is>
      </c>
    </row>
    <row r="39">
      <c r="A39" s="7" t="inlineStr">
        <is>
          <t>Without this check the report can only state the limitation, not a conclusion.</t>
        </is>
      </c>
    </row>
    <row r="40">
      <c r="A40" s="7" t="inlineStr">
        <is>
          <t>Provide the missing column/file and re-run the reconciliation.</t>
        </is>
      </c>
    </row>
    <row r="41">
      <c r="A41" s="2" t="inlineStr">
        <is>
          <t>12 credit note(s) in the portal file were not reconciled</t>
        </is>
      </c>
    </row>
    <row r="42">
      <c r="A42" s="7" t="inlineStr">
        <is>
          <t>The portal file carries 12 credit note(s) (B2B-CDNR). No books-side debit/credit-note register was uploaded, and credit-note matching is not part of this reconciliation, so they were left out entirely rather than silently dropped.</t>
        </is>
      </c>
    </row>
    <row r="43">
      <c r="A43" s="7" t="inlineStr">
        <is>
          <t>A reconciliation that silently omits a class of documents would overstate its own completeness.</t>
        </is>
      </c>
    </row>
    <row r="44">
      <c r="A44" s="7" t="inlineStr">
        <is>
          <t>Upload the missing source (e.g. a books-side credit/debit-note register) and re-run if these documents need to be reconciled.</t>
        </is>
      </c>
    </row>
    <row r="45">
      <c r="A45" s="2" t="inlineStr">
        <is>
          <t>IMS action status covers 80 portal document(s)</t>
        </is>
      </c>
    </row>
    <row r="46">
      <c r="A46" s="7" t="inlineStr">
        <is>
          <t>IMS statuses on the supplied export: Accepted 41, No Action Taken 27, Pending 12. IMS status is carried through as reference only — it does not drive matching in this build.</t>
        </is>
      </c>
    </row>
    <row r="47">
      <c r="A47" s="7" t="inlineStr">
        <is>
          <t>A reconciliation that silently omits a class of documents would overstate its own completeness.</t>
        </is>
      </c>
    </row>
    <row r="48">
      <c r="A48" s="7" t="inlineStr">
        <is>
          <t>Upload the missing source (e.g. a books-side credit/debit-note register) and re-run if these documents need to be reconciled.</t>
        </is>
      </c>
    </row>
    <row r="49">
      <c r="A49" s="2" t="inlineStr">
        <is>
          <t>Source files used (2)</t>
        </is>
      </c>
    </row>
    <row r="50">
      <c r="A50" s="7" t="inlineStr">
        <is>
          <t>082026_07AAACP9472A1ZJ_GSTR2B_15092026 (1).xlsx, PurchaseRegister(Bill-wise) (1).xlsx</t>
        </is>
      </c>
    </row>
    <row r="51">
      <c r="A51" s="7" t="inlineStr">
        <is>
          <t>The report reconciles exactly these files for this period and nothing else.</t>
        </is>
      </c>
    </row>
    <row r="52">
      <c r="A52" s="7" t="inlineStr">
        <is>
          <t>Replace a file and re-run if the source changed.</t>
        </is>
      </c>
    </row>
    <row r="53">
      <c r="A53" s="2" t="inlineStr">
        <is>
          <t>What this report covers</t>
        </is>
      </c>
    </row>
    <row r="54">
      <c r="A54" s="7" t="inlineStr">
        <is>
          <t>This reconciles the source files above for this period only.</t>
        </is>
      </c>
    </row>
    <row r="55">
      <c r="A55" s="7" t="inlineStr">
        <is>
          <t>It does not perform a statutory filing and does not pull live portal data.</t>
        </is>
      </c>
    </row>
    <row r="56">
      <c r="A56" s="7" t="inlineStr">
        <is>
          <t>File the return from your filing workflow once the exceptions are decided.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30" customWidth="1" min="16" max="16"/>
  </cols>
  <sheetData>
    <row r="1">
      <c r="A1" s="8" t="inlineStr">
        <is>
          <t>Supplier</t>
        </is>
      </c>
      <c r="B1" s="8" t="inlineStr">
        <is>
          <t>GSTIN</t>
        </is>
      </c>
      <c r="C1" s="8" t="inlineStr">
        <is>
          <t>Invoice no.</t>
        </is>
      </c>
      <c r="D1" s="8" t="inlineStr">
        <is>
          <t>Invoice date</t>
        </is>
      </c>
      <c r="E1" s="8" t="inlineStr">
        <is>
          <t>Taxable value</t>
        </is>
      </c>
      <c r="F1" s="8" t="inlineStr">
        <is>
          <t>IGST</t>
        </is>
      </c>
      <c r="G1" s="8" t="inlineStr">
        <is>
          <t>CGST</t>
        </is>
      </c>
      <c r="H1" s="8" t="inlineStr">
        <is>
          <t>SGST</t>
        </is>
      </c>
      <c r="I1" s="8" t="inlineStr">
        <is>
          <t>Cess</t>
        </is>
      </c>
      <c r="J1" s="8" t="inlineStr">
        <is>
          <t>Total tax</t>
        </is>
      </c>
      <c r="K1" s="8" t="inlineStr">
        <is>
          <t>Invoice value</t>
        </is>
      </c>
      <c r="L1" s="8" t="inlineStr">
        <is>
          <t>Classification</t>
        </is>
      </c>
      <c r="M1" s="8" t="inlineStr">
        <is>
          <t>Status</t>
        </is>
      </c>
      <c r="N1" s="8" t="inlineStr">
        <is>
          <t>Difference type</t>
        </is>
      </c>
      <c r="O1" s="8" t="inlineStr">
        <is>
          <t>Confidence</t>
        </is>
      </c>
      <c r="P1" s="8" t="inlineStr">
        <is>
          <t>Match reason</t>
        </is>
      </c>
    </row>
    <row r="2">
      <c r="A2" s="9" t="inlineStr">
        <is>
          <t>SURAJ BHAN SUNIL KUMAR &amp;CO.</t>
        </is>
      </c>
      <c r="B2" s="9" t="inlineStr">
        <is>
          <t>07AAXFS9006M1ZC</t>
        </is>
      </c>
      <c r="C2" s="9" t="inlineStr">
        <is>
          <t>T11439</t>
        </is>
      </c>
      <c r="D2" s="9" t="inlineStr">
        <is>
          <t>01 Aug 2026</t>
        </is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inlineStr">
        <is>
          <t>Matched</t>
        </is>
      </c>
      <c r="M2" s="9" t="inlineStr">
        <is>
          <t>Not reviewed</t>
        </is>
      </c>
      <c r="N2" s="9" t="inlineStr"/>
      <c r="O2" s="9" t="inlineStr">
        <is>
          <t>High — 98%</t>
        </is>
      </c>
      <c r="P2" s="11" t="inlineStr">
        <is>
          <t>Matched on: GSTIN 07AAXFS9006M1ZC, invoice 'T11439' (books) / 'T11439/26-27' (portal); taxable value, CGST, SGST, IGST and cess all agree.</t>
        </is>
      </c>
    </row>
    <row r="3">
      <c r="A3" s="9" t="inlineStr">
        <is>
          <t>SURAJ BHAN SUNIL KUMAR &amp;CO.</t>
        </is>
      </c>
      <c r="B3" s="9" t="inlineStr">
        <is>
          <t>07AAXFS9006M1ZC</t>
        </is>
      </c>
      <c r="C3" s="9" t="inlineStr">
        <is>
          <t>T11451</t>
        </is>
      </c>
      <c r="D3" s="9" t="inlineStr">
        <is>
          <t>01 Aug 2026</t>
        </is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inlineStr">
        <is>
          <t>Matched</t>
        </is>
      </c>
      <c r="M3" s="9" t="inlineStr">
        <is>
          <t>Not reviewed</t>
        </is>
      </c>
      <c r="N3" s="9" t="inlineStr"/>
      <c r="O3" s="9" t="inlineStr">
        <is>
          <t>High — 98%</t>
        </is>
      </c>
      <c r="P3" s="11" t="inlineStr">
        <is>
          <t>Matched on: GSTIN 07AAXFS9006M1ZC, invoice 'T11451' (books) / 'T11451/26-27' (portal); taxable value, CGST, SGST, IGST and cess all agree.</t>
        </is>
      </c>
    </row>
    <row r="4">
      <c r="A4" s="9" t="inlineStr">
        <is>
          <t>ROOP LAXMI SAREES (P) LTD.</t>
        </is>
      </c>
      <c r="B4" s="9" t="inlineStr">
        <is>
          <t>07AACCR8869H1ZU</t>
        </is>
      </c>
      <c r="C4" s="9" t="inlineStr">
        <is>
          <t>2915</t>
        </is>
      </c>
      <c r="D4" s="9" t="inlineStr">
        <is>
          <t>03 Aug 2026</t>
        </is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inlineStr">
        <is>
          <t>Matched</t>
        </is>
      </c>
      <c r="M4" s="9" t="inlineStr">
        <is>
          <t>Not reviewed</t>
        </is>
      </c>
      <c r="N4" s="9" t="inlineStr"/>
      <c r="O4" s="9" t="inlineStr">
        <is>
          <t>High — 98%</t>
        </is>
      </c>
      <c r="P4" s="11" t="inlineStr">
        <is>
          <t>Matched on: GSTIN 07AACCR8869H1ZU, invoice '2915' (books) / 'RL/2915/26-27' (portal); taxable value, CGST, SGST, IGST and cess all agree. after invoice number variance ('2915' in books, 'RL/2915/26-27' on portal — same numeric core 2915)</t>
        </is>
      </c>
    </row>
    <row r="5">
      <c r="A5" s="9" t="inlineStr">
        <is>
          <t>JAGDISH AND SONS INDIA LLP</t>
        </is>
      </c>
      <c r="B5" s="9" t="inlineStr">
        <is>
          <t>07AAMFJ9163F1Z1</t>
        </is>
      </c>
      <c r="C5" s="9" t="inlineStr">
        <is>
          <t>3499</t>
        </is>
      </c>
      <c r="D5" s="9" t="inlineStr">
        <is>
          <t>03 Aug 2026</t>
        </is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inlineStr">
        <is>
          <t>Matched</t>
        </is>
      </c>
      <c r="M5" s="9" t="inlineStr">
        <is>
          <t>Not reviewed</t>
        </is>
      </c>
      <c r="N5" s="9" t="inlineStr"/>
      <c r="O5" s="9" t="inlineStr">
        <is>
          <t>High — 98%</t>
        </is>
      </c>
      <c r="P5" s="11" t="inlineStr">
        <is>
          <t>Matched on: GSTIN 07AAMFJ9163F1Z1, invoice '3499' (books) / 'JSIT-03499/26-27' (portal); taxable value, CGST, SGST, IGST and cess all agree. after invoice number variance ('3499' in books, 'JSIT-03499/26-27' on portal — same numeric core 3499)</t>
        </is>
      </c>
    </row>
    <row r="6">
      <c r="A6" s="9" t="inlineStr">
        <is>
          <t>JAGDISH AND SONS INDIA LLP</t>
        </is>
      </c>
      <c r="B6" s="9" t="inlineStr">
        <is>
          <t>07AAMFJ9163F1Z1</t>
        </is>
      </c>
      <c r="C6" s="9" t="inlineStr">
        <is>
          <t>3500</t>
        </is>
      </c>
      <c r="D6" s="9" t="inlineStr">
        <is>
          <t>03 Aug 2026</t>
        </is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inlineStr">
        <is>
          <t>Matched</t>
        </is>
      </c>
      <c r="M6" s="9" t="inlineStr">
        <is>
          <t>Not reviewed</t>
        </is>
      </c>
      <c r="N6" s="9" t="inlineStr"/>
      <c r="O6" s="9" t="inlineStr">
        <is>
          <t>High — 98%</t>
        </is>
      </c>
      <c r="P6" s="11" t="inlineStr">
        <is>
          <t>Matched on: GSTIN 07AAMFJ9163F1Z1, invoice '3500' (books) / 'JSIT-03500/26-27' (portal); taxable value, CGST, SGST, IGST and cess all agree. after invoice number variance ('3500' in books, 'JSIT-03500/26-27' on portal — same numeric core 3500)</t>
        </is>
      </c>
    </row>
    <row r="7">
      <c r="A7" s="9" t="inlineStr">
        <is>
          <t>SURAJ BHAN SUNIL KUMAR &amp;CO.</t>
        </is>
      </c>
      <c r="B7" s="9" t="inlineStr">
        <is>
          <t>07AAXFS9006M1ZC</t>
        </is>
      </c>
      <c r="C7" s="9" t="inlineStr">
        <is>
          <t>T11579</t>
        </is>
      </c>
      <c r="D7" s="9" t="inlineStr">
        <is>
          <t>03 Aug 2026</t>
        </is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inlineStr">
        <is>
          <t>Matched</t>
        </is>
      </c>
      <c r="M7" s="9" t="inlineStr">
        <is>
          <t>Not reviewed</t>
        </is>
      </c>
      <c r="N7" s="9" t="inlineStr"/>
      <c r="O7" s="9" t="inlineStr">
        <is>
          <t>High — 98%</t>
        </is>
      </c>
      <c r="P7" s="11" t="inlineStr">
        <is>
          <t>Matched on: GSTIN 07AAXFS9006M1ZC, invoice 'T11579' (books) / 'T11579/26-27' (portal); taxable value, CGST, SGST, IGST and cess all agree.</t>
        </is>
      </c>
    </row>
    <row r="8">
      <c r="A8" s="9" t="inlineStr">
        <is>
          <t>SURAJ BHAN SUNIL KUMAR &amp;CO.</t>
        </is>
      </c>
      <c r="B8" s="9" t="inlineStr">
        <is>
          <t>07AAXFS9006M1ZC</t>
        </is>
      </c>
      <c r="C8" s="9" t="inlineStr">
        <is>
          <t>T12253</t>
        </is>
      </c>
      <c r="D8" s="9" t="inlineStr">
        <is>
          <t>10 Aug 2026</t>
        </is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inlineStr">
        <is>
          <t>Matched</t>
        </is>
      </c>
      <c r="M8" s="9" t="inlineStr">
        <is>
          <t>Not reviewed</t>
        </is>
      </c>
      <c r="N8" s="9" t="inlineStr"/>
      <c r="O8" s="9" t="inlineStr">
        <is>
          <t>High — 98%</t>
        </is>
      </c>
      <c r="P8" s="11" t="inlineStr">
        <is>
          <t>Matched on: GSTIN 07AAXFS9006M1ZC, invoice 'T12253' (books) / 'T12253/26-27' (portal); taxable value, CGST, SGST, IGST and cess all agree.</t>
        </is>
      </c>
    </row>
    <row r="9">
      <c r="A9" s="9" t="inlineStr">
        <is>
          <t>SURAJ BHAN SUNIL KUMAR &amp;CO.</t>
        </is>
      </c>
      <c r="B9" s="9" t="inlineStr">
        <is>
          <t>07AAXFS9006M1ZC</t>
        </is>
      </c>
      <c r="C9" s="9" t="inlineStr">
        <is>
          <t>T12408</t>
        </is>
      </c>
      <c r="D9" s="9" t="inlineStr">
        <is>
          <t>11 Aug 2026</t>
        </is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inlineStr">
        <is>
          <t>Matched</t>
        </is>
      </c>
      <c r="M9" s="9" t="inlineStr">
        <is>
          <t>Not reviewed</t>
        </is>
      </c>
      <c r="N9" s="9" t="inlineStr"/>
      <c r="O9" s="9" t="inlineStr">
        <is>
          <t>High — 98%</t>
        </is>
      </c>
      <c r="P9" s="11" t="inlineStr">
        <is>
          <t>Matched on: GSTIN 07AAXFS9006M1ZC, invoice 'T12408' (books) / 'T12408/26-27' (portal); taxable value, CGST, SGST, IGST and cess all agree.</t>
        </is>
      </c>
    </row>
    <row r="10">
      <c r="A10" s="9" t="inlineStr">
        <is>
          <t>SURAJ BHAN SUNIL KUMAR &amp;CO.</t>
        </is>
      </c>
      <c r="B10" s="9" t="inlineStr">
        <is>
          <t>07AAXFS9006M1ZC</t>
        </is>
      </c>
      <c r="C10" s="9" t="inlineStr">
        <is>
          <t>T12732</t>
        </is>
      </c>
      <c r="D10" s="9" t="inlineStr">
        <is>
          <t>13 Aug 2026</t>
        </is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inlineStr">
        <is>
          <t>Matched</t>
        </is>
      </c>
      <c r="M10" s="9" t="inlineStr">
        <is>
          <t>Not reviewed</t>
        </is>
      </c>
      <c r="N10" s="9" t="inlineStr"/>
      <c r="O10" s="9" t="inlineStr">
        <is>
          <t>High — 98%</t>
        </is>
      </c>
      <c r="P10" s="11" t="inlineStr">
        <is>
          <t>Matched on: GSTIN 07AAXFS9006M1ZC, invoice 'T12732' (books) / 'T12732/26-27' (portal); taxable value, CGST, SGST, IGST and cess all agree.</t>
        </is>
      </c>
    </row>
    <row r="11">
      <c r="A11" s="9" t="inlineStr">
        <is>
          <t>SURAJ BHAN SUNIL KUMAR &amp;CO.</t>
        </is>
      </c>
      <c r="B11" s="9" t="inlineStr">
        <is>
          <t>07AAXFS9006M1ZC</t>
        </is>
      </c>
      <c r="C11" s="9" t="inlineStr">
        <is>
          <t>T13053</t>
        </is>
      </c>
      <c r="D11" s="9" t="inlineStr">
        <is>
          <t>17 Aug 2026</t>
        </is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inlineStr">
        <is>
          <t>Matched</t>
        </is>
      </c>
      <c r="M11" s="9" t="inlineStr">
        <is>
          <t>Not reviewed</t>
        </is>
      </c>
      <c r="N11" s="9" t="inlineStr"/>
      <c r="O11" s="9" t="inlineStr">
        <is>
          <t>High — 98%</t>
        </is>
      </c>
      <c r="P11" s="11" t="inlineStr">
        <is>
          <t>Matched on: GSTIN 07AAXFS9006M1ZC, invoice 'T13053' (books) / 'T13053/26-27' (portal); taxable value, CGST, SGST, IGST and cess all agree.</t>
        </is>
      </c>
    </row>
    <row r="12">
      <c r="A12" s="9" t="inlineStr">
        <is>
          <t>SURAJ BHAN SUNIL KUMAR &amp;CO.</t>
        </is>
      </c>
      <c r="B12" s="9" t="inlineStr">
        <is>
          <t>07AAXFS9006M1ZC</t>
        </is>
      </c>
      <c r="C12" s="9" t="inlineStr">
        <is>
          <t>T13093</t>
        </is>
      </c>
      <c r="D12" s="9" t="inlineStr">
        <is>
          <t>17 Aug 2026</t>
        </is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inlineStr">
        <is>
          <t>Matched</t>
        </is>
      </c>
      <c r="M12" s="9" t="inlineStr">
        <is>
          <t>Not reviewed</t>
        </is>
      </c>
      <c r="N12" s="9" t="inlineStr"/>
      <c r="O12" s="9" t="inlineStr">
        <is>
          <t>High — 98%</t>
        </is>
      </c>
      <c r="P12" s="11" t="inlineStr">
        <is>
          <t>Matched on: GSTIN 07AAXFS9006M1ZC, invoice 'T13093' (books) / 'T13093/26-27' (portal); taxable value, CGST, SGST, IGST and cess all agree.</t>
        </is>
      </c>
    </row>
    <row r="13">
      <c r="A13" s="9" t="inlineStr">
        <is>
          <t>SURAJ BHAN SUNIL KUMAR &amp;CO.</t>
        </is>
      </c>
      <c r="B13" s="9" t="inlineStr">
        <is>
          <t>07AAXFS9006M1ZC</t>
        </is>
      </c>
      <c r="C13" s="9" t="inlineStr">
        <is>
          <t>T13131</t>
        </is>
      </c>
      <c r="D13" s="9" t="inlineStr">
        <is>
          <t>17 Aug 2026</t>
        </is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inlineStr">
        <is>
          <t>Matched</t>
        </is>
      </c>
      <c r="M13" s="9" t="inlineStr">
        <is>
          <t>Not reviewed</t>
        </is>
      </c>
      <c r="N13" s="9" t="inlineStr"/>
      <c r="O13" s="9" t="inlineStr">
        <is>
          <t>High — 98%</t>
        </is>
      </c>
      <c r="P13" s="11" t="inlineStr">
        <is>
          <t>Matched on: GSTIN 07AAXFS9006M1ZC, invoice 'T13131' (books) / 'T13131/26-27' (portal); taxable value, CGST, SGST, IGST and cess all agree.</t>
        </is>
      </c>
    </row>
    <row r="14">
      <c r="A14" s="9" t="inlineStr">
        <is>
          <t>SURAJ BHAN SUNIL KUMAR &amp;CO.</t>
        </is>
      </c>
      <c r="B14" s="9" t="inlineStr">
        <is>
          <t>07AAXFS9006M1ZC</t>
        </is>
      </c>
      <c r="C14" s="9" t="inlineStr">
        <is>
          <t>T13502</t>
        </is>
      </c>
      <c r="D14" s="9" t="inlineStr">
        <is>
          <t>19 Aug 2026</t>
        </is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inlineStr">
        <is>
          <t>Matched</t>
        </is>
      </c>
      <c r="M14" s="9" t="inlineStr">
        <is>
          <t>Not reviewed</t>
        </is>
      </c>
      <c r="N14" s="9" t="inlineStr"/>
      <c r="O14" s="9" t="inlineStr">
        <is>
          <t>High — 98%</t>
        </is>
      </c>
      <c r="P14" s="11" t="inlineStr">
        <is>
          <t>Matched on: GSTIN 07AAXFS9006M1ZC, invoice 'T13502' (books) / 'T13502/26-27' (portal); taxable value, CGST, SGST, IGST and cess all agree.</t>
        </is>
      </c>
    </row>
    <row r="15">
      <c r="A15" s="9" t="inlineStr">
        <is>
          <t>MONA FASHION</t>
        </is>
      </c>
      <c r="B15" s="9" t="inlineStr">
        <is>
          <t>07APLPT8045C1ZN</t>
        </is>
      </c>
      <c r="C15" s="9" t="inlineStr">
        <is>
          <t>1913</t>
        </is>
      </c>
      <c r="D15" s="9" t="inlineStr">
        <is>
          <t>21 Aug 2026</t>
        </is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inlineStr">
        <is>
          <t>Matched</t>
        </is>
      </c>
      <c r="M15" s="9" t="inlineStr">
        <is>
          <t>Not reviewed</t>
        </is>
      </c>
      <c r="N15" s="9" t="inlineStr"/>
      <c r="O15" s="9" t="inlineStr">
        <is>
          <t>High — 98%</t>
        </is>
      </c>
      <c r="P15" s="11" t="inlineStr">
        <is>
          <t>Matched on: GSTIN 07APLPT8045C1ZN, invoice '1913' (books) / 'MF/26-27/1913' (portal); taxable value, CGST, SGST, IGST and cess all agree. after invoice number variance ('1913' in books, 'MF/26-27/1913' on portal — same numeric core 1913)</t>
        </is>
      </c>
    </row>
    <row r="16">
      <c r="A16" s="9" t="inlineStr">
        <is>
          <t>POOJA DESIGNERS PVT. LTD.</t>
        </is>
      </c>
      <c r="B16" s="9" t="inlineStr">
        <is>
          <t>07AAGCP9332D1ZG</t>
        </is>
      </c>
      <c r="C16" s="9" t="inlineStr">
        <is>
          <t>3386</t>
        </is>
      </c>
      <c r="D16" s="9" t="inlineStr">
        <is>
          <t>22 Aug 2026</t>
        </is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inlineStr">
        <is>
          <t>Matched</t>
        </is>
      </c>
      <c r="M16" s="9" t="inlineStr">
        <is>
          <t>Not reviewed</t>
        </is>
      </c>
      <c r="N16" s="9" t="inlineStr"/>
      <c r="O16" s="9" t="inlineStr">
        <is>
          <t>High — 98%</t>
        </is>
      </c>
      <c r="P16" s="11" t="inlineStr">
        <is>
          <t>Matched on: GSTIN 07AAGCP9332D1ZG, invoice '3386' (books) / 'PD/26-27/3386' (portal); taxable value, CGST, SGST, IGST and cess all agree. after invoice number variance ('3386' in books, 'PD/26-27/3386' on portal — same numeric core 3386)</t>
        </is>
      </c>
    </row>
    <row r="17">
      <c r="A17" s="9" t="inlineStr">
        <is>
          <t>ROOP LAXMI SAREES (P) LTD.</t>
        </is>
      </c>
      <c r="B17" s="9" t="inlineStr">
        <is>
          <t>07AACCR8869H1ZU</t>
        </is>
      </c>
      <c r="C17" s="9" t="inlineStr">
        <is>
          <t>3524</t>
        </is>
      </c>
      <c r="D17" s="9" t="inlineStr">
        <is>
          <t>22 Aug 2026</t>
        </is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inlineStr">
        <is>
          <t>Matched</t>
        </is>
      </c>
      <c r="M17" s="9" t="inlineStr">
        <is>
          <t>Not reviewed</t>
        </is>
      </c>
      <c r="N17" s="9" t="inlineStr"/>
      <c r="O17" s="9" t="inlineStr">
        <is>
          <t>High — 98%</t>
        </is>
      </c>
      <c r="P17" s="11" t="inlineStr">
        <is>
          <t>Matched on: GSTIN 07AACCR8869H1ZU, invoice '3524' (books) / 'RL/3524/26-27' (portal); taxable value, CGST, SGST, IGST and cess all agree. after invoice number variance ('3524' in books, 'RL/3524/26-27' on portal — same numeric core 3524)</t>
        </is>
      </c>
    </row>
    <row r="18">
      <c r="A18" s="9" t="inlineStr">
        <is>
          <t>SURAJ BHAN SUNIL KUMAR &amp;CO.</t>
        </is>
      </c>
      <c r="B18" s="9" t="inlineStr">
        <is>
          <t>07AAXFS9006M1ZC</t>
        </is>
      </c>
      <c r="C18" s="9" t="inlineStr">
        <is>
          <t>T13985</t>
        </is>
      </c>
      <c r="D18" s="9" t="inlineStr">
        <is>
          <t>22 Aug 2026</t>
        </is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inlineStr">
        <is>
          <t>Matched</t>
        </is>
      </c>
      <c r="M18" s="9" t="inlineStr">
        <is>
          <t>Not reviewed</t>
        </is>
      </c>
      <c r="N18" s="9" t="inlineStr"/>
      <c r="O18" s="9" t="inlineStr">
        <is>
          <t>High — 98%</t>
        </is>
      </c>
      <c r="P18" s="11" t="inlineStr">
        <is>
          <t>Matched on: GSTIN 07AAXFS9006M1ZC, invoice 'T13985' (books) / 'T13985/26-27' (portal); taxable value, CGST, SGST, IGST and cess all agree.</t>
        </is>
      </c>
    </row>
    <row r="19">
      <c r="A19" s="9" t="inlineStr">
        <is>
          <t>SURAJ BHAN SUNIL KUMAR &amp;CO.</t>
        </is>
      </c>
      <c r="B19" s="9" t="inlineStr">
        <is>
          <t>07AAXFS9006M1ZC</t>
        </is>
      </c>
      <c r="C19" s="9" t="inlineStr">
        <is>
          <t>T14127</t>
        </is>
      </c>
      <c r="D19" s="9" t="inlineStr">
        <is>
          <t>22 Aug 2026</t>
        </is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inlineStr">
        <is>
          <t>Matched</t>
        </is>
      </c>
      <c r="M19" s="9" t="inlineStr">
        <is>
          <t>Not reviewed</t>
        </is>
      </c>
      <c r="N19" s="9" t="inlineStr"/>
      <c r="O19" s="9" t="inlineStr">
        <is>
          <t>High — 98%</t>
        </is>
      </c>
      <c r="P19" s="11" t="inlineStr">
        <is>
          <t>Matched on: GSTIN 07AAXFS9006M1ZC, invoice 'T14127' (books) / 'T14127/26-27' (portal); taxable value, CGST, SGST, IGST and cess all agree.</t>
        </is>
      </c>
    </row>
    <row r="20">
      <c r="A20" s="9" t="inlineStr">
        <is>
          <t>JAGDISH AND SONS INDIA LLP</t>
        </is>
      </c>
      <c r="B20" s="9" t="inlineStr">
        <is>
          <t>07AAMFJ9163F1Z1</t>
        </is>
      </c>
      <c r="C20" s="9" t="inlineStr">
        <is>
          <t>4284</t>
        </is>
      </c>
      <c r="D20" s="9" t="inlineStr">
        <is>
          <t>24 Aug 2026</t>
        </is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inlineStr">
        <is>
          <t>Matched</t>
        </is>
      </c>
      <c r="M20" s="9" t="inlineStr">
        <is>
          <t>Not reviewed</t>
        </is>
      </c>
      <c r="N20" s="9" t="inlineStr"/>
      <c r="O20" s="9" t="inlineStr">
        <is>
          <t>High — 98%</t>
        </is>
      </c>
      <c r="P20" s="11" t="inlineStr">
        <is>
          <t>Matched on: GSTIN 07AAMFJ9163F1Z1, invoice '4284' (books) / 'JSIT-04284/26-27' (portal); taxable value, CGST, SGST, IGST and cess all agree. after invoice number variance ('4284' in books, 'JSIT-04284/26-27' on portal — same numeric core 4284)</t>
        </is>
      </c>
    </row>
    <row r="21">
      <c r="A21" s="9" t="inlineStr">
        <is>
          <t>SWAASTIK TRADING COMPANY</t>
        </is>
      </c>
      <c r="B21" s="9" t="inlineStr">
        <is>
          <t>24DCNPB1786A1ZX</t>
        </is>
      </c>
      <c r="C21" s="9" t="inlineStr">
        <is>
          <t>7953</t>
        </is>
      </c>
      <c r="D21" s="9" t="inlineStr">
        <is>
          <t>24 Aug 2026</t>
        </is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inlineStr">
        <is>
          <t>Matched</t>
        </is>
      </c>
      <c r="M21" s="9" t="inlineStr">
        <is>
          <t>Not reviewed</t>
        </is>
      </c>
      <c r="N21" s="9" t="inlineStr"/>
      <c r="O21" s="9" t="inlineStr">
        <is>
          <t>High — 98%</t>
        </is>
      </c>
      <c r="P21" s="11" t="inlineStr">
        <is>
          <t>Matched on: GSTIN 24DCNPB1786A1ZX, invoice 7953; taxable value, CGST, SGST, IGST and cess all agree.</t>
        </is>
      </c>
    </row>
    <row r="22">
      <c r="A22" s="9" t="inlineStr">
        <is>
          <t>SWAASTIK TRADING COMPANY</t>
        </is>
      </c>
      <c r="B22" s="9" t="inlineStr">
        <is>
          <t>24DCNPB1786A1ZX</t>
        </is>
      </c>
      <c r="C22" s="9" t="inlineStr">
        <is>
          <t>7955</t>
        </is>
      </c>
      <c r="D22" s="9" t="inlineStr">
        <is>
          <t>24 Aug 2026</t>
        </is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inlineStr">
        <is>
          <t>Matched</t>
        </is>
      </c>
      <c r="M22" s="9" t="inlineStr">
        <is>
          <t>Not reviewed</t>
        </is>
      </c>
      <c r="N22" s="9" t="inlineStr"/>
      <c r="O22" s="9" t="inlineStr">
        <is>
          <t>High — 98%</t>
        </is>
      </c>
      <c r="P22" s="11" t="inlineStr">
        <is>
          <t>Matched on: GSTIN 24DCNPB1786A1ZX, invoice 7955; taxable value, CGST, SGST, IGST and cess all agree.</t>
        </is>
      </c>
    </row>
    <row r="23">
      <c r="A23" s="9" t="inlineStr">
        <is>
          <t>SURAJ BHAN SUNIL KUMAR &amp;CO.</t>
        </is>
      </c>
      <c r="B23" s="9" t="inlineStr">
        <is>
          <t>07AAXFS9006M1ZC</t>
        </is>
      </c>
      <c r="C23" s="9" t="inlineStr">
        <is>
          <t>T14305</t>
        </is>
      </c>
      <c r="D23" s="9" t="inlineStr">
        <is>
          <t>24 Aug 2026</t>
        </is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inlineStr">
        <is>
          <t>Matched</t>
        </is>
      </c>
      <c r="M23" s="9" t="inlineStr">
        <is>
          <t>Not reviewed</t>
        </is>
      </c>
      <c r="N23" s="9" t="inlineStr"/>
      <c r="O23" s="9" t="inlineStr">
        <is>
          <t>High — 98%</t>
        </is>
      </c>
      <c r="P23" s="11" t="inlineStr">
        <is>
          <t>Matched on: GSTIN 07AAXFS9006M1ZC, invoice 'T14305' (books) / 'T14305/26-27' (portal); taxable value, CGST, SGST, IGST and cess all agree.</t>
        </is>
      </c>
    </row>
    <row r="24">
      <c r="A24" s="9" t="inlineStr">
        <is>
          <t>SURAJ BHAN SUNIL KUMAR &amp;CO.</t>
        </is>
      </c>
      <c r="B24" s="9" t="inlineStr">
        <is>
          <t>07AAXFS9006M1ZC</t>
        </is>
      </c>
      <c r="C24" s="9" t="inlineStr">
        <is>
          <t>T14374</t>
        </is>
      </c>
      <c r="D24" s="9" t="inlineStr">
        <is>
          <t>24 Aug 2026</t>
        </is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inlineStr">
        <is>
          <t>Matched</t>
        </is>
      </c>
      <c r="M24" s="9" t="inlineStr">
        <is>
          <t>Not reviewed</t>
        </is>
      </c>
      <c r="N24" s="9" t="inlineStr"/>
      <c r="O24" s="9" t="inlineStr">
        <is>
          <t>High — 98%</t>
        </is>
      </c>
      <c r="P24" s="11" t="inlineStr">
        <is>
          <t>Matched on: GSTIN 07AAXFS9006M1ZC, invoice 'T14374' (books) / 'T14374/26-27' (portal); taxable value, CGST, SGST, IGST and cess all agree.</t>
        </is>
      </c>
    </row>
    <row r="25">
      <c r="A25" s="9" t="inlineStr">
        <is>
          <t>SURAJ BHAN SUNIL KUMAR &amp;CO.</t>
        </is>
      </c>
      <c r="B25" s="9" t="inlineStr">
        <is>
          <t>07AAXFS9006M1ZC</t>
        </is>
      </c>
      <c r="C25" s="9" t="inlineStr">
        <is>
          <t>T14445</t>
        </is>
      </c>
      <c r="D25" s="9" t="inlineStr">
        <is>
          <t>25 Aug 2026</t>
        </is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inlineStr">
        <is>
          <t>Matched</t>
        </is>
      </c>
      <c r="M25" s="9" t="inlineStr">
        <is>
          <t>Not reviewed</t>
        </is>
      </c>
      <c r="N25" s="9" t="inlineStr"/>
      <c r="O25" s="9" t="inlineStr">
        <is>
          <t>High — 98%</t>
        </is>
      </c>
      <c r="P25" s="11" t="inlineStr">
        <is>
          <t>Matched on: GSTIN 07AAXFS9006M1ZC, invoice 'T14445' (books) / 'T14445/26-27' (portal); taxable value, CGST, SGST, IGST and cess all agree.</t>
        </is>
      </c>
    </row>
    <row r="26">
      <c r="A26" s="9" t="inlineStr">
        <is>
          <t>PUSHPANJALI FASHION</t>
        </is>
      </c>
      <c r="B26" s="9" t="inlineStr">
        <is>
          <t>07APRPG2889P1ZV</t>
        </is>
      </c>
      <c r="C26" s="9" t="inlineStr">
        <is>
          <t>65</t>
        </is>
      </c>
      <c r="D26" s="9" t="inlineStr">
        <is>
          <t>26 Aug 2026</t>
        </is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inlineStr">
        <is>
          <t>Matched</t>
        </is>
      </c>
      <c r="M26" s="9" t="inlineStr">
        <is>
          <t>Not reviewed</t>
        </is>
      </c>
      <c r="N26" s="9" t="inlineStr"/>
      <c r="O26" s="9" t="inlineStr">
        <is>
          <t>High — 98%</t>
        </is>
      </c>
      <c r="P26" s="11" t="inlineStr">
        <is>
          <t>Matched on: GSTIN 07APRPG2889P1ZV, invoice 65; taxable value, CGST, SGST, IGST and cess all agree.</t>
        </is>
      </c>
    </row>
    <row r="27">
      <c r="A27" s="9" t="inlineStr">
        <is>
          <t>SURAJ BHAN SUNIL KUMAR &amp;CO.</t>
        </is>
      </c>
      <c r="B27" s="9" t="inlineStr">
        <is>
          <t>07AAXFS9006M1ZC</t>
        </is>
      </c>
      <c r="C27" s="9" t="inlineStr">
        <is>
          <t>T14781</t>
        </is>
      </c>
      <c r="D27" s="9" t="inlineStr">
        <is>
          <t>27 Aug 2026</t>
        </is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inlineStr">
        <is>
          <t>Matched</t>
        </is>
      </c>
      <c r="M27" s="9" t="inlineStr">
        <is>
          <t>Not reviewed</t>
        </is>
      </c>
      <c r="N27" s="9" t="inlineStr"/>
      <c r="O27" s="9" t="inlineStr">
        <is>
          <t>High — 98%</t>
        </is>
      </c>
      <c r="P27" s="11" t="inlineStr">
        <is>
          <t>Matched on: GSTIN 07AAXFS9006M1ZC, invoice 'T14781' (books) / 'T14781/26-27' (portal); taxable value, CGST, SGST, IGST and cess all agree.</t>
        </is>
      </c>
    </row>
    <row r="28">
      <c r="A28" s="9" t="inlineStr">
        <is>
          <t>JAGDISH AND SONS INDIA LLP</t>
        </is>
      </c>
      <c r="B28" s="9" t="inlineStr">
        <is>
          <t>07AAMFJ9163F1Z1</t>
        </is>
      </c>
      <c r="C28" s="9" t="inlineStr">
        <is>
          <t>4507</t>
        </is>
      </c>
      <c r="D28" s="9" t="inlineStr">
        <is>
          <t>29 Aug 2026</t>
        </is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inlineStr">
        <is>
          <t>Matched</t>
        </is>
      </c>
      <c r="M28" s="9" t="inlineStr">
        <is>
          <t>Not reviewed</t>
        </is>
      </c>
      <c r="N28" s="9" t="inlineStr"/>
      <c r="O28" s="9" t="inlineStr">
        <is>
          <t>High — 98%</t>
        </is>
      </c>
      <c r="P28" s="11" t="inlineStr">
        <is>
          <t>Matched on: GSTIN 07AAMFJ9163F1Z1, invoice '4507' (books) / 'JSIT-04507/26-27' (portal); taxable value, CGST, SGST, IGST and cess all agree. after invoice number variance ('4507' in books, 'JSIT-04507/26-27' on portal — same numeric core 4507)</t>
        </is>
      </c>
    </row>
    <row r="29">
      <c r="A29" s="9" t="inlineStr">
        <is>
          <t>SURAJ BHAN SUNIL KUMAR &amp;CO.</t>
        </is>
      </c>
      <c r="B29" s="9" t="inlineStr">
        <is>
          <t>07AAXFS9006M1ZC</t>
        </is>
      </c>
      <c r="C29" s="9" t="inlineStr">
        <is>
          <t>T15042</t>
        </is>
      </c>
      <c r="D29" s="9" t="inlineStr">
        <is>
          <t>29 Aug 2026</t>
        </is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inlineStr">
        <is>
          <t>Matched</t>
        </is>
      </c>
      <c r="M29" s="9" t="inlineStr">
        <is>
          <t>Not reviewed</t>
        </is>
      </c>
      <c r="N29" s="9" t="inlineStr"/>
      <c r="O29" s="9" t="inlineStr">
        <is>
          <t>High — 98%</t>
        </is>
      </c>
      <c r="P29" s="11" t="inlineStr">
        <is>
          <t>Matched on: GSTIN 07AAXFS9006M1ZC, invoice 'T15042' (books) / 'T15042/26-27' (portal); taxable value, CGST, SGST, IGST and cess all agree.</t>
        </is>
      </c>
    </row>
    <row r="30">
      <c r="A30" s="9" t="inlineStr">
        <is>
          <t>SURAJ BHAN SUNIL KUMAR &amp;CO.</t>
        </is>
      </c>
      <c r="B30" s="9" t="inlineStr">
        <is>
          <t>07AAXFS9006M1ZC</t>
        </is>
      </c>
      <c r="C30" s="9" t="inlineStr">
        <is>
          <t>T15076</t>
        </is>
      </c>
      <c r="D30" s="9" t="inlineStr">
        <is>
          <t>29 Aug 2026</t>
        </is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inlineStr">
        <is>
          <t>Matched</t>
        </is>
      </c>
      <c r="M30" s="9" t="inlineStr">
        <is>
          <t>Not reviewed</t>
        </is>
      </c>
      <c r="N30" s="9" t="inlineStr"/>
      <c r="O30" s="9" t="inlineStr">
        <is>
          <t>High — 98%</t>
        </is>
      </c>
      <c r="P30" s="11" t="inlineStr">
        <is>
          <t>Matched on: GSTIN 07AAXFS9006M1ZC, invoice 'T15076' (books) / 'T15076/26-27' (portal); taxable value, CGST, SGST, IGST and cess all agree.</t>
        </is>
      </c>
    </row>
    <row r="31">
      <c r="A31" s="9" t="inlineStr">
        <is>
          <t>SURAJ BHAN SUNIL KUMAR &amp;CO.</t>
        </is>
      </c>
      <c r="B31" s="9" t="inlineStr">
        <is>
          <t>07AAXFS9006M1ZC</t>
        </is>
      </c>
      <c r="C31" s="9" t="inlineStr">
        <is>
          <t>T15093</t>
        </is>
      </c>
      <c r="D31" s="9" t="inlineStr">
        <is>
          <t>29 Aug 2026</t>
        </is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inlineStr">
        <is>
          <t>Matched</t>
        </is>
      </c>
      <c r="M31" s="9" t="inlineStr">
        <is>
          <t>Not reviewed</t>
        </is>
      </c>
      <c r="N31" s="9" t="inlineStr"/>
      <c r="O31" s="9" t="inlineStr">
        <is>
          <t>High — 98%</t>
        </is>
      </c>
      <c r="P31" s="11" t="inlineStr">
        <is>
          <t>Matched on: GSTIN 07AAXFS9006M1ZC, invoice 'T15093' (books) / 'T15093/26-27' (portal); taxable value, CGST, SGST, IGST and cess all agree.</t>
        </is>
      </c>
    </row>
    <row r="32">
      <c r="A32" s="9" t="inlineStr">
        <is>
          <t>SURAJ BHAN SUNIL KUMAR &amp;CO.</t>
        </is>
      </c>
      <c r="B32" s="9" t="inlineStr">
        <is>
          <t>07AAXFS9006M1ZC</t>
        </is>
      </c>
      <c r="C32" s="9" t="inlineStr">
        <is>
          <t>T15145</t>
        </is>
      </c>
      <c r="D32" s="9" t="inlineStr">
        <is>
          <t>31 Aug 2026</t>
        </is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inlineStr">
        <is>
          <t>Matched</t>
        </is>
      </c>
      <c r="M32" s="9" t="inlineStr">
        <is>
          <t>Not reviewed</t>
        </is>
      </c>
      <c r="N32" s="9" t="inlineStr"/>
      <c r="O32" s="9" t="inlineStr">
        <is>
          <t>High — 98%</t>
        </is>
      </c>
      <c r="P32" s="11" t="inlineStr">
        <is>
          <t>Matched on: GSTIN 07AAXFS9006M1ZC, invoice 'T15145' (books) / 'T15145/26-27' (portal); taxable value, CGST, SGST, IGST and cess all agree.</t>
        </is>
      </c>
    </row>
    <row r="33">
      <c r="A33" s="9" t="inlineStr">
        <is>
          <t>SURAJ BHAN SUNIL KUMAR &amp;CO.</t>
        </is>
      </c>
      <c r="B33" s="9" t="inlineStr">
        <is>
          <t>07AAXFS9006M1ZC</t>
        </is>
      </c>
      <c r="C33" s="9" t="inlineStr">
        <is>
          <t>T15157</t>
        </is>
      </c>
      <c r="D33" s="9" t="inlineStr">
        <is>
          <t>31 Aug 2026</t>
        </is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inlineStr">
        <is>
          <t>Matched</t>
        </is>
      </c>
      <c r="M33" s="9" t="inlineStr">
        <is>
          <t>Not reviewed</t>
        </is>
      </c>
      <c r="N33" s="9" t="inlineStr"/>
      <c r="O33" s="9" t="inlineStr">
        <is>
          <t>High — 98%</t>
        </is>
      </c>
      <c r="P33" s="11" t="inlineStr">
        <is>
          <t>Matched on: GSTIN 07AAXFS9006M1ZC, invoice 'T15157' (books) / 'T15157/26-27' (portal); taxable value, CGST, SGST, IGST and cess all agree.</t>
        </is>
      </c>
    </row>
    <row r="34">
      <c r="A34" s="9" t="inlineStr">
        <is>
          <t>SURAJ BHAN SUNIL KUMAR &amp;CO.</t>
        </is>
      </c>
      <c r="B34" s="9" t="inlineStr">
        <is>
          <t>07AAXFS9006M1ZC</t>
        </is>
      </c>
      <c r="C34" s="9" t="inlineStr">
        <is>
          <t>T15158</t>
        </is>
      </c>
      <c r="D34" s="9" t="inlineStr">
        <is>
          <t>31 Aug 2026</t>
        </is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inlineStr">
        <is>
          <t>Matched</t>
        </is>
      </c>
      <c r="M34" s="9" t="inlineStr">
        <is>
          <t>Not reviewed</t>
        </is>
      </c>
      <c r="N34" s="9" t="inlineStr"/>
      <c r="O34" s="9" t="inlineStr">
        <is>
          <t>High — 98%</t>
        </is>
      </c>
      <c r="P34" s="11" t="inlineStr">
        <is>
          <t>Matched on: GSTIN 07AAXFS9006M1ZC, invoice 'T15158' (books) / 'T15158/26-27' (portal); taxable value, CGST, SGST, IGST and cess all agree.</t>
        </is>
      </c>
    </row>
    <row r="35">
      <c r="A35" s="9" t="inlineStr">
        <is>
          <t>SURAJ BHAN SUNIL KUMAR &amp;CO.</t>
        </is>
      </c>
      <c r="B35" s="9" t="inlineStr">
        <is>
          <t>07AAXFS9006M1ZC</t>
        </is>
      </c>
      <c r="C35" s="9" t="inlineStr">
        <is>
          <t>T15176</t>
        </is>
      </c>
      <c r="D35" s="9" t="inlineStr">
        <is>
          <t>31 Aug 2026</t>
        </is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inlineStr">
        <is>
          <t>Matched</t>
        </is>
      </c>
      <c r="M35" s="9" t="inlineStr">
        <is>
          <t>Not reviewed</t>
        </is>
      </c>
      <c r="N35" s="9" t="inlineStr"/>
      <c r="O35" s="9" t="inlineStr">
        <is>
          <t>High — 98%</t>
        </is>
      </c>
      <c r="P35" s="11" t="inlineStr">
        <is>
          <t>Matched on: GSTIN 07AAXFS9006M1ZC, invoice 'T15176' (books) / 'T15176/26-27' (portal); taxable value, CGST, SGST, IGST and cess all agree.</t>
        </is>
      </c>
    </row>
    <row r="36">
      <c r="A36" s="9" t="inlineStr">
        <is>
          <t>SURAJ BHAN SUNIL KUMAR &amp;CO.</t>
        </is>
      </c>
      <c r="B36" s="9" t="inlineStr">
        <is>
          <t>07AAXFS9006M1ZC</t>
        </is>
      </c>
      <c r="C36" s="9" t="inlineStr">
        <is>
          <t>T15254</t>
        </is>
      </c>
      <c r="D36" s="9" t="inlineStr">
        <is>
          <t>31 Aug 2026</t>
        </is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inlineStr">
        <is>
          <t>Matched</t>
        </is>
      </c>
      <c r="M36" s="9" t="inlineStr">
        <is>
          <t>Not reviewed</t>
        </is>
      </c>
      <c r="N36" s="9" t="inlineStr"/>
      <c r="O36" s="9" t="inlineStr">
        <is>
          <t>High — 98%</t>
        </is>
      </c>
      <c r="P36" s="11" t="inlineStr">
        <is>
          <t>Matched on: GSTIN 07AAXFS9006M1ZC, invoice 'T15254' (books) / 'T15254/26-27' (portal); taxable value, CGST, SGST, IGST and cess all agree.</t>
        </is>
      </c>
    </row>
    <row r="37">
      <c r="A37" s="12" t="inlineStr">
        <is>
          <t>Bharti Airtel Limited</t>
        </is>
      </c>
      <c r="B37" s="12" t="inlineStr">
        <is>
          <t>07AAACB2894G1ZP</t>
        </is>
      </c>
      <c r="C37" s="12" t="inlineStr">
        <is>
          <t>HF2707I005456843</t>
        </is>
      </c>
      <c r="D37" s="12" t="inlineStr">
        <is>
          <t>06 Aug 2026</t>
        </is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706.8200000000001</v>
      </c>
      <c r="L37" s="12" t="inlineStr">
        <is>
          <t>Not in Books</t>
        </is>
      </c>
      <c r="M37" s="12" t="inlineStr">
        <is>
          <t>Reviewed</t>
        </is>
      </c>
      <c r="N37" s="12" t="inlineStr"/>
      <c r="O37" s="12" t="inlineStr">
        <is>
          <t>Low — 0%</t>
        </is>
      </c>
      <c r="P37" s="14" t="inlineStr">
        <is>
          <t>Not in Books: GSTIN 07AAACB2894G1ZP, invoice HF2707I005456843, ₹706.82 — no matching book entry found across any pass.</t>
        </is>
      </c>
    </row>
    <row r="38">
      <c r="A38" s="12" t="inlineStr">
        <is>
          <t>central bank of india</t>
        </is>
      </c>
      <c r="B38" s="12" t="inlineStr">
        <is>
          <t>07AAACC2498P1Z5</t>
        </is>
      </c>
      <c r="C38" s="12" t="inlineStr">
        <is>
          <t>27071C0000155202</t>
        </is>
      </c>
      <c r="D38" s="12" t="inlineStr">
        <is>
          <t>31 Aug 2026</t>
        </is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inlineStr">
        <is>
          <t>Not in Books</t>
        </is>
      </c>
      <c r="M38" s="12" t="inlineStr">
        <is>
          <t>Not reviewed</t>
        </is>
      </c>
      <c r="N38" s="12" t="inlineStr"/>
      <c r="O38" s="12" t="inlineStr">
        <is>
          <t>Low — 0%</t>
        </is>
      </c>
      <c r="P38" s="14" t="inlineStr">
        <is>
          <t>Not in Books: GSTIN 07AAACC2498P1Z5, invoice 27071C0000155202, ₹23.60 — no matching book entry found across any pass.</t>
        </is>
      </c>
    </row>
    <row r="39">
      <c r="A39" s="12" t="inlineStr">
        <is>
          <t>ICICI BANK LIMITED</t>
        </is>
      </c>
      <c r="B39" s="12" t="inlineStr">
        <is>
          <t>27AAACI1195H3ZK</t>
        </is>
      </c>
      <c r="C39" s="12" t="inlineStr">
        <is>
          <t>7406PC6080067461</t>
        </is>
      </c>
      <c r="D39" s="12" t="inlineStr">
        <is>
          <t>31 Aug 2026</t>
        </is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inlineStr">
        <is>
          <t>Not in Books</t>
        </is>
      </c>
      <c r="M39" s="12" t="inlineStr">
        <is>
          <t>Not reviewed</t>
        </is>
      </c>
      <c r="N39" s="12" t="inlineStr"/>
      <c r="O39" s="12" t="inlineStr">
        <is>
          <t>Low — 0%</t>
        </is>
      </c>
      <c r="P39" s="14" t="inlineStr">
        <is>
          <t>Not in Books: GSTIN 27AAACI1195H3ZK, invoice 7406PC6080067461, ₹226.84 — no matching book entry found across any pass.</t>
        </is>
      </c>
    </row>
    <row r="40">
      <c r="A40" s="12" t="inlineStr">
        <is>
          <t>Jelux Solutions</t>
        </is>
      </c>
      <c r="B40" s="12" t="inlineStr">
        <is>
          <t>06AAVFJ3532D1ZD</t>
        </is>
      </c>
      <c r="C40" s="12" t="inlineStr">
        <is>
          <t>27</t>
        </is>
      </c>
      <c r="D40" s="12" t="inlineStr">
        <is>
          <t>01 Aug 2026</t>
        </is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inlineStr">
        <is>
          <t>Not in Books</t>
        </is>
      </c>
      <c r="M40" s="12" t="inlineStr">
        <is>
          <t>Not reviewed</t>
        </is>
      </c>
      <c r="N40" s="12" t="inlineStr"/>
      <c r="O40" s="12" t="inlineStr">
        <is>
          <t>Low — 0%</t>
        </is>
      </c>
      <c r="P40" s="14" t="inlineStr">
        <is>
          <t>Not in Books: GSTIN 06AAVFJ3532D1ZD, invoice 27, ₹11,800.00 — no matching book entry found across any pass.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8" t="inlineStr">
        <is>
          <t>Supplier</t>
        </is>
      </c>
      <c r="B1" s="8" t="inlineStr">
        <is>
          <t>GSTIN</t>
        </is>
      </c>
      <c r="C1" s="8" t="inlineStr">
        <is>
          <t>Note no.</t>
        </is>
      </c>
      <c r="D1" s="8" t="inlineStr">
        <is>
          <t>Note type</t>
        </is>
      </c>
      <c r="E1" s="8" t="inlineStr">
        <is>
          <t>Note date</t>
        </is>
      </c>
      <c r="F1" s="8" t="inlineStr">
        <is>
          <t>Taxable value</t>
        </is>
      </c>
      <c r="G1" s="8" t="inlineStr">
        <is>
          <t>IGST</t>
        </is>
      </c>
      <c r="H1" s="8" t="inlineStr">
        <is>
          <t>CGST</t>
        </is>
      </c>
      <c r="I1" s="8" t="inlineStr">
        <is>
          <t>SGST</t>
        </is>
      </c>
      <c r="J1" s="8" t="inlineStr">
        <is>
          <t>Cess</t>
        </is>
      </c>
      <c r="K1" s="8" t="inlineStr">
        <is>
          <t>Total tax</t>
        </is>
      </c>
      <c r="L1" s="8" t="inlineStr">
        <is>
          <t>Note value</t>
        </is>
      </c>
      <c r="M1" s="8" t="inlineStr">
        <is>
          <t>ITC availability</t>
        </is>
      </c>
      <c r="N1" s="8" t="inlineStr">
        <is>
          <t>Reverse charge</t>
        </is>
      </c>
    </row>
    <row r="2">
      <c r="A2" t="inlineStr">
        <is>
          <t>ROOPLAXMI SAREES PRIVATE LIMITED</t>
        </is>
      </c>
      <c r="B2" t="inlineStr">
        <is>
          <t>07AACCR8869H1ZU</t>
        </is>
      </c>
      <c r="C2" t="inlineStr">
        <is>
          <t>CDN/465/26-27</t>
        </is>
      </c>
      <c r="D2" t="inlineStr">
        <is>
          <t>Credit Note</t>
        </is>
      </c>
      <c r="E2" t="inlineStr">
        <is>
          <t>16 Aug 2026</t>
        </is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t="inlineStr">
        <is>
          <t>Yes</t>
        </is>
      </c>
      <c r="N2" t="inlineStr">
        <is>
          <t>No</t>
        </is>
      </c>
    </row>
    <row r="3">
      <c r="A3" t="inlineStr">
        <is>
          <t>ROOPLAXMI SAREES PRIVATE LIMITED</t>
        </is>
      </c>
      <c r="B3" t="inlineStr">
        <is>
          <t>07AACCR8869H1ZU</t>
        </is>
      </c>
      <c r="C3" t="inlineStr">
        <is>
          <t>CDN/501/26-27</t>
        </is>
      </c>
      <c r="D3" t="inlineStr">
        <is>
          <t>Credit Note</t>
        </is>
      </c>
      <c r="E3" t="inlineStr">
        <is>
          <t>29 Aug 2026</t>
        </is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t="inlineStr">
        <is>
          <t>Yes</t>
        </is>
      </c>
      <c r="N3" t="inlineStr">
        <is>
          <t>No</t>
        </is>
      </c>
    </row>
    <row r="4">
      <c r="A4" t="inlineStr">
        <is>
          <t>ROOPLAXMI SAREES PRIVATE LIMITED</t>
        </is>
      </c>
      <c r="B4" t="inlineStr">
        <is>
          <t>07AACCR8869H1ZU</t>
        </is>
      </c>
      <c r="C4" t="inlineStr">
        <is>
          <t>CN/1026/26-27</t>
        </is>
      </c>
      <c r="D4" t="inlineStr">
        <is>
          <t>Credit Note</t>
        </is>
      </c>
      <c r="E4" t="inlineStr">
        <is>
          <t>08 Aug 2026</t>
        </is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t="inlineStr">
        <is>
          <t>Yes</t>
        </is>
      </c>
      <c r="N4" t="inlineStr">
        <is>
          <t>No</t>
        </is>
      </c>
    </row>
    <row r="5">
      <c r="A5" t="inlineStr">
        <is>
          <t>ROOPLAXMI SAREES PRIVATE LIMITED</t>
        </is>
      </c>
      <c r="B5" t="inlineStr">
        <is>
          <t>07AACCR8869H1ZU</t>
        </is>
      </c>
      <c r="C5" t="inlineStr">
        <is>
          <t>CN/1077/26-27</t>
        </is>
      </c>
      <c r="D5" t="inlineStr">
        <is>
          <t>Credit Note</t>
        </is>
      </c>
      <c r="E5" t="inlineStr">
        <is>
          <t>16 Aug 2026</t>
        </is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t="inlineStr">
        <is>
          <t>Yes</t>
        </is>
      </c>
      <c r="N5" t="inlineStr">
        <is>
          <t>No</t>
        </is>
      </c>
    </row>
    <row r="6">
      <c r="A6" t="inlineStr">
        <is>
          <t>ROOPLAXMI SAREES PRIVATE LIMITED</t>
        </is>
      </c>
      <c r="B6" t="inlineStr">
        <is>
          <t>07AACCR8869H1ZU</t>
        </is>
      </c>
      <c r="C6" t="inlineStr">
        <is>
          <t>CN/1160/26-27</t>
        </is>
      </c>
      <c r="D6" t="inlineStr">
        <is>
          <t>Credit Note</t>
        </is>
      </c>
      <c r="E6" t="inlineStr">
        <is>
          <t>27 Aug 2026</t>
        </is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t="inlineStr">
        <is>
          <t>Yes</t>
        </is>
      </c>
      <c r="N6" t="inlineStr">
        <is>
          <t>No</t>
        </is>
      </c>
    </row>
    <row r="7">
      <c r="A7" t="inlineStr">
        <is>
          <t>Suraj Bhan Sunil Kumar And Co</t>
        </is>
      </c>
      <c r="B7" t="inlineStr">
        <is>
          <t>07AAXFS9006M1ZC</t>
        </is>
      </c>
      <c r="C7" t="inlineStr">
        <is>
          <t>CD-248/08-2026</t>
        </is>
      </c>
      <c r="D7" t="inlineStr">
        <is>
          <t>Credit Note</t>
        </is>
      </c>
      <c r="E7" t="inlineStr">
        <is>
          <t>22 Aug 2026</t>
        </is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t="inlineStr">
        <is>
          <t>Yes</t>
        </is>
      </c>
      <c r="N7" t="inlineStr">
        <is>
          <t>No</t>
        </is>
      </c>
    </row>
    <row r="8">
      <c r="A8" t="inlineStr">
        <is>
          <t>Suraj Bhan Sunil Kumar And Co</t>
        </is>
      </c>
      <c r="B8" t="inlineStr">
        <is>
          <t>07AAXFS9006M1ZC</t>
        </is>
      </c>
      <c r="C8" t="inlineStr">
        <is>
          <t>CD-400/08-2026</t>
        </is>
      </c>
      <c r="D8" t="inlineStr">
        <is>
          <t>Credit Note</t>
        </is>
      </c>
      <c r="E8" t="inlineStr">
        <is>
          <t>31 Aug 2026</t>
        </is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t="inlineStr">
        <is>
          <t>Yes</t>
        </is>
      </c>
      <c r="N8" t="inlineStr">
        <is>
          <t>No</t>
        </is>
      </c>
    </row>
    <row r="9">
      <c r="A9" t="inlineStr">
        <is>
          <t>Suraj Bhan Sunil Kumar And Co</t>
        </is>
      </c>
      <c r="B9" t="inlineStr">
        <is>
          <t>07AAXFS9006M1ZC</t>
        </is>
      </c>
      <c r="C9" t="inlineStr">
        <is>
          <t>SRI-2538/26-27</t>
        </is>
      </c>
      <c r="D9" t="inlineStr">
        <is>
          <t>Credit Note</t>
        </is>
      </c>
      <c r="E9" t="inlineStr">
        <is>
          <t>21 Aug 2026</t>
        </is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t="inlineStr">
        <is>
          <t>Yes</t>
        </is>
      </c>
      <c r="N9" t="inlineStr">
        <is>
          <t>No</t>
        </is>
      </c>
    </row>
    <row r="10">
      <c r="A10" t="inlineStr">
        <is>
          <t>Suraj Bhan Sunil Kumar And Co</t>
        </is>
      </c>
      <c r="B10" t="inlineStr">
        <is>
          <t>07AAXFS9006M1ZC</t>
        </is>
      </c>
      <c r="C10" t="inlineStr">
        <is>
          <t>SRI-2703/26-27</t>
        </is>
      </c>
      <c r="D10" t="inlineStr">
        <is>
          <t>Credit Note</t>
        </is>
      </c>
      <c r="E10" t="inlineStr">
        <is>
          <t>31 Aug 2026</t>
        </is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t="inlineStr">
        <is>
          <t>Yes</t>
        </is>
      </c>
      <c r="N10" t="inlineStr">
        <is>
          <t>No</t>
        </is>
      </c>
    </row>
    <row r="11">
      <c r="A11" t="inlineStr">
        <is>
          <t>PUSHPANJALI FASHIONS</t>
        </is>
      </c>
      <c r="B11" t="inlineStr">
        <is>
          <t>07APRPG2889P1ZV</t>
        </is>
      </c>
      <c r="C11" t="inlineStr">
        <is>
          <t>14</t>
        </is>
      </c>
      <c r="D11" t="inlineStr">
        <is>
          <t>Credit Note</t>
        </is>
      </c>
      <c r="E11" t="inlineStr">
        <is>
          <t>27 Aug 2026</t>
        </is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t="inlineStr">
        <is>
          <t>Yes</t>
        </is>
      </c>
      <c r="N11" t="inlineStr">
        <is>
          <t>No</t>
        </is>
      </c>
    </row>
    <row r="12">
      <c r="A12" t="inlineStr">
        <is>
          <t>JAGDISH AND SONS INDIA LLP</t>
        </is>
      </c>
      <c r="B12" t="inlineStr">
        <is>
          <t>07AAMFJ9163F1Z1</t>
        </is>
      </c>
      <c r="C12" t="inlineStr">
        <is>
          <t>JSISC26-27-01210</t>
        </is>
      </c>
      <c r="D12" t="inlineStr">
        <is>
          <t>Credit Note</t>
        </is>
      </c>
      <c r="E12" t="inlineStr">
        <is>
          <t>03 Aug 2026</t>
        </is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t="inlineStr">
        <is>
          <t>Yes</t>
        </is>
      </c>
      <c r="N12" t="inlineStr">
        <is>
          <t>No</t>
        </is>
      </c>
    </row>
    <row r="13">
      <c r="A13" t="inlineStr">
        <is>
          <t>JAGDISH AND SONS INDIA LLP</t>
        </is>
      </c>
      <c r="B13" t="inlineStr">
        <is>
          <t>07AAMFJ9163F1Z1</t>
        </is>
      </c>
      <c r="C13" t="inlineStr">
        <is>
          <t>JSSC-00557/26-27</t>
        </is>
      </c>
      <c r="D13" t="inlineStr">
        <is>
          <t>Credit Note</t>
        </is>
      </c>
      <c r="E13" t="inlineStr">
        <is>
          <t>20 Aug 2026</t>
        </is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t="inlineStr">
        <is>
          <t>Yes</t>
        </is>
      </c>
      <c r="N13" t="inlineStr">
        <is>
          <t>No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52" customWidth="1" min="3" max="3"/>
    <col width="52" customWidth="1" min="4" max="4"/>
  </cols>
  <sheetData>
    <row r="1">
      <c r="A1" s="8" t="inlineStr">
        <is>
          <t>Note</t>
        </is>
      </c>
      <c r="B1" s="8" t="inlineStr">
        <is>
          <t>What</t>
        </is>
      </c>
      <c r="C1" s="8" t="inlineStr">
        <is>
          <t>Why it matters</t>
        </is>
      </c>
      <c r="D1" s="8" t="inlineStr">
        <is>
          <t>How to fix</t>
        </is>
      </c>
    </row>
    <row r="2">
      <c r="A2" s="7" t="inlineStr">
        <is>
          <t>Rounding adjustments on 31 invoice(s)</t>
        </is>
      </c>
      <c r="B2" s="7" t="inlineStr">
        <is>
          <t>31 source rows carry a non-zero rounding/round-off residual. The engine keeps it out of the taxable and tax totals and folds it into the invoice value.</t>
        </is>
      </c>
      <c r="C2" s="7" t="inlineStr">
        <is>
          <t>Rounding residuals are normal in Indian invoices but a persistent pattern can hide a mapping offset.</t>
        </is>
      </c>
      <c r="D2" s="7" t="inlineStr">
        <is>
          <t>No action needed unless the residuals are large or one-sided; if so, check the 'Other Amt.' column mapping.</t>
        </is>
      </c>
    </row>
    <row r="3">
      <c r="A3" s="7" t="inlineStr">
        <is>
          <t>TDS is not reconciled in this run</t>
        </is>
      </c>
      <c r="B3" s="7" t="inlineStr">
        <is>
          <t>This run reconciled GST only. No Form 26AS or TDS return was part of it.</t>
        </is>
      </c>
      <c r="C3" s="7" t="inlineStr">
        <is>
          <t>Deduction, deposit and 26AS reflection cannot be checked without those files, so any TDS position is unverified.</t>
        </is>
      </c>
      <c r="D3" s="7" t="inlineStr">
        <is>
          <t>Upload the Form 26AS and TDS source files and run a TDS reconciliation.</t>
        </is>
      </c>
    </row>
    <row r="4">
      <c r="A4" s="7" t="inlineStr">
        <is>
          <t>4 record(s) have no books side</t>
        </is>
      </c>
      <c r="B4" s="7" t="inlineStr">
        <is>
          <t>These were seen only on the portal, so no books value could be compared.</t>
        </is>
      </c>
      <c r="C4" s="7" t="inlineStr">
        <is>
          <t>They widen the difference without a counterpart amount to net against.</t>
        </is>
      </c>
      <c r="D4" s="7" t="inlineStr">
        <is>
          <t>Confirm whether they are booked under another ledger or genuinely missing.</t>
        </is>
      </c>
    </row>
    <row r="5">
      <c r="A5" s="7" t="inlineStr">
        <is>
          <t>Tax-component comparison (CGST/SGST/IGST/Cess)</t>
        </is>
      </c>
      <c r="B5" s="7" t="inlineStr">
        <is>
          <t>Tax-component comparison (CGST/SGST/IGST/Cess) — not available (cess not mapped), so this check is skipped.</t>
        </is>
      </c>
      <c r="C5" s="7" t="inlineStr">
        <is>
          <t>Without this check the report can only state the limitation, not a conclusion.</t>
        </is>
      </c>
      <c r="D5" s="7" t="inlineStr">
        <is>
          <t>Provide the missing column/file and re-run the reconciliation.</t>
        </is>
      </c>
    </row>
    <row r="6">
      <c r="A6" s="7" t="inlineStr">
        <is>
          <t>12 credit note(s) in the portal file were not reconciled</t>
        </is>
      </c>
      <c r="B6" s="7" t="inlineStr">
        <is>
          <t>The portal file carries 12 credit note(s) (B2B-CDNR). No books-side debit/credit-note register was uploaded, and credit-note matching is not part of this reconciliation, so they were left out entirely rather than silently dropped.</t>
        </is>
      </c>
      <c r="C6" s="7" t="inlineStr">
        <is>
          <t>A reconciliation that silently omits a class of documents would overstate its own completeness.</t>
        </is>
      </c>
      <c r="D6" s="7" t="inlineStr">
        <is>
          <t>Upload the missing source (e.g. a books-side credit/debit-note register) and re-run if these documents need to be reconciled.</t>
        </is>
      </c>
    </row>
    <row r="7">
      <c r="A7" s="7" t="inlineStr">
        <is>
          <t>IMS action status covers 80 portal document(s)</t>
        </is>
      </c>
      <c r="B7" s="7" t="inlineStr">
        <is>
          <t>IMS statuses on the supplied export: Accepted 41, No Action Taken 27, Pending 12. IMS status is carried through as reference only — it does not drive matching in this build.</t>
        </is>
      </c>
      <c r="C7" s="7" t="inlineStr">
        <is>
          <t>A reconciliation that silently omits a class of documents would overstate its own completeness.</t>
        </is>
      </c>
      <c r="D7" s="7" t="inlineStr">
        <is>
          <t>Upload the missing source (e.g. a books-side credit/debit-note register) and re-run if these documents need to be reconciled.</t>
        </is>
      </c>
    </row>
    <row r="8">
      <c r="A8" s="7" t="inlineStr">
        <is>
          <t>Source files used (2)</t>
        </is>
      </c>
      <c r="B8" s="7" t="inlineStr">
        <is>
          <t>082026_07AAACP9472A1ZJ_GSTR2B_15092026 (1).xlsx, PurchaseRegister(Bill-wise) (1).xlsx</t>
        </is>
      </c>
      <c r="C8" s="7" t="inlineStr">
        <is>
          <t>The report reconciles exactly these files for this period and nothing else.</t>
        </is>
      </c>
      <c r="D8" s="7" t="inlineStr">
        <is>
          <t>Replace a file and re-run if the source changed.</t>
        </is>
      </c>
    </row>
    <row r="9">
      <c r="A9" s="7" t="inlineStr">
        <is>
          <t>What this report covers</t>
        </is>
      </c>
      <c r="B9" s="7" t="inlineStr">
        <is>
          <t>This reconciles the source files above for this period only.</t>
        </is>
      </c>
      <c r="C9" s="7" t="inlineStr">
        <is>
          <t>It does not perform a statutory filing and does not pull live portal data.</t>
        </is>
      </c>
      <c r="D9" s="7" t="inlineStr">
        <is>
          <t>File the return from your filing workflow once the exceptions are decided.</t>
        </is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2026-09-25T16:21:29Z</dcterms:created>
  <dcterms:modified xmlns:dcterms="http://purl.org/dc/terms/" xmlns:xsi="http://www.w3.org/2001/XMLSchema-instance" xsi:type="dcterms:W3CDTF">2026-09-25T16:21:29Z</dcterms:modified>
</cp:coreProperties>
</file>