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Master data" sheetId="2" state="visible" r:id="rId4"/>
    <sheet name="Matched" sheetId="3" state="visible" r:id="rId5"/>
    <sheet name="Not in Books" sheetId="4" state="visible" r:id="rId6"/>
    <sheet name="Credit Notes" sheetId="5" state="visible" r:id="rId7"/>
  </sheets>
  <definedNames>
    <definedName function="false" hidden="false" localSheetId="4" name="_xlnm.Print_Titles" vbProcedure="false">'Credit Notes'!$1:$1</definedName>
    <definedName function="false" hidden="false" localSheetId="1" name="_xlnm.Print_Titles" vbProcedure="false">'Master data'!$1:$1</definedName>
    <definedName function="false" hidden="false" localSheetId="2" name="_xlnm.Print_Titles" vbProcedure="false">Matched!$1:$1</definedName>
    <definedName function="false" hidden="false" localSheetId="3" name="_xlnm.Print_Titles" vbProcedure="false">'Not in Books'!$1:$1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<sst xmlns="http://schemas.openxmlformats.org/spreadsheetml/2006/main" count="522" uniqueCount="221">
  <si>
    <t xml:space="preserve">GST Reconciliation Report</t>
  </si>
  <si>
    <t xml:space="preserve">Test Client · Aug 2026 · Run 11 · GSTIN 07AAACP9472A1ZJ</t>
  </si>
  <si>
    <t xml:space="preserve">Generated 26 Sep 2026 13:32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</si>
  <si>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</si>
  <si>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</si>
  <si>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exceptions)</t>
  </si>
  <si>
    <t xml:space="preserve">§1 headline — tax on every exception bucket,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</si>
  <si>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</si>
  <si>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</si>
  <si>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</si>
  <si>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</si>
  <si>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</si>
  <si>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</si>
  <si>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</si>
  <si>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</si>
  <si>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</si>
  <si>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</si>
  <si>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</si>
  <si>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</si>
  <si>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</si>
  <si>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Split by matching type (from the master data sheet)</t>
  </si>
  <si>
    <t xml:space="preserve">Classification</t>
  </si>
  <si>
    <t xml:space="preserve">Entries</t>
  </si>
  <si>
    <t xml:space="preserve">Total tax</t>
  </si>
  <si>
    <t xml:space="preserve">Invoice value</t>
  </si>
  <si>
    <t xml:space="preserve">Not in Books</t>
  </si>
  <si>
    <t xml:space="preserve">Total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</si>
  <si>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</si>
  <si>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</si>
  <si>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</si>
  <si>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</si>
  <si>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</si>
  <si>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</si>
  <si>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</si>
  <si>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</si>
  <si>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</si>
  <si>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</si>
  <si>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</si>
  <si>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</si>
  <si>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</si>
  <si>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</si>
  <si>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</si>
  <si>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</si>
  <si>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</si>
  <si>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</si>
  <si>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</si>
  <si>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</si>
  <si>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</si>
  <si>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</si>
  <si>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</si>
  <si>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</si>
  <si>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</si>
  <si>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</si>
  <si>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</si>
  <si>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</si>
  <si>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</si>
  <si>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</si>
  <si>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</si>
  <si>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</si>
  <si>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</si>
  <si>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</si>
  <si>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</si>
  <si>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</si>
  <si>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</si>
  <si>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</si>
  <si>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</si>
  <si>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</si>
  <si>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</si>
  <si>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</si>
  <si>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</si>
  <si>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</si>
  <si>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</si>
  <si>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</si>
  <si>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Row key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</si>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</sst>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SUMIF('Master data'!$L$2:$L$40,"&lt;&gt;Matched",'Master data'!$J$2:$J$40)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SUM('Master data'!$J$2:$J$40)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COUNTA('Master data'!$A$2:$A$40)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COUNTIF('Master data'!$L$2:$L$40,"Matched")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COUNTA('Master data'!$A$2:$A$40)-COUNTIF('Master data'!$L$2:$L$40,"Matched")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COUNTIF('Master data'!$L$2:$L$40,"Not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COUNTIF('Master data'!$L$2:$L$40,"Not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COUNTIF('Master data'!$L$2:$L$40,"Amount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Notes'!$A$2:$A$13)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Notes'!$K$2:$K$13)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SUMIF('Master data'!$L$2:$L$40,"&lt;&gt;Matched",'Master data'!$K$2:$K$40)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7" t="s">
        <v>21</v>
      </c>
      <c r="B21" s="7" t="s">
        <v>22</v>
      </c>
      <c r="C21" s="7" t="s">
        <v>23</v>
      </c>
      <c r="D21" s="7" t="s">
        <v>24</v>
      </c>
    </row>
    <row r="22" customFormat="false" ht="15" hidden="false" customHeight="false" outlineLevel="0" collapsed="false">
      <c r="A22" s="0" t="s">
        <v>10</v>
      </c>
      <c r="B22" s="6" t="n">
        <f aca="false">COUNTIF('Master data'!$L$2:$L$40,"Matched")</f>
        <v>35</v>
      </c>
      <c r="C22" s="3" t="n">
        <f aca="false">SUMIF('Master data'!$L$2:$L$40,"Matched",'Master data'!$J$2:$J$40)</f>
        <v>98513.46</v>
      </c>
      <c r="D22" s="3" t="n">
        <f aca="false">SUMIF('Master data'!$L$2:$L$40,"Matched",'Master data'!$K$2:$K$40)</f>
        <v>821221</v>
      </c>
    </row>
    <row r="23" customFormat="false" ht="15" hidden="false" customHeight="false" outlineLevel="0" collapsed="false">
      <c r="A23" s="0" t="s">
        <v>25</v>
      </c>
      <c r="B23" s="6" t="n">
        <f aca="false">COUNTIF('Master data'!$L$2:$L$40,"Not in Books")</f>
        <v>4</v>
      </c>
      <c r="C23" s="3" t="n">
        <f aca="false">SUMIF('Master data'!$L$2:$L$40,"Not in Books",'Master data'!$J$2:$J$40)</f>
        <v>1946.02</v>
      </c>
      <c r="D23" s="3" t="n">
        <f aca="false">SUMIF('Master data'!$L$2:$L$40,"Not in Books",'Master data'!$K$2:$K$40)</f>
        <v>12757.26</v>
      </c>
    </row>
    <row r="24" customFormat="false" ht="15" hidden="false" customHeight="false" outlineLevel="0" collapsed="false">
      <c r="A24" s="2" t="s">
        <v>26</v>
      </c>
      <c r="B24" s="6" t="n">
        <f aca="false">SUM(B22:B23)</f>
        <v>39</v>
      </c>
      <c r="C24" s="3" t="n">
        <f aca="false">SUM(C22:C23)</f>
        <v>100459.48</v>
      </c>
      <c r="D24" s="3" t="n">
        <f aca="false">SUM(D22:D23)</f>
        <v>833978.26</v>
      </c>
    </row>
    <row r="26" customFormat="false" ht="15" hidden="false" customHeight="false" outlineLevel="0" collapsed="false">
      <c r="A26" s="2" t="s">
        <v>27</v>
      </c>
    </row>
    <row r="27" customFormat="false" ht="15" hidden="false" customHeight="false" outlineLevel="0" collapsed="false">
      <c r="A27" s="2" t="s">
        <v>28</v>
      </c>
    </row>
    <row r="28" customFormat="false" ht="46.25" hidden="false" customHeight="false" outlineLevel="0" collapsed="false">
      <c r="A28" s="8" t="s">
        <v>29</v>
      </c>
    </row>
    <row r="29" customFormat="false" ht="31.3" hidden="false" customHeight="false" outlineLevel="0" collapsed="false">
      <c r="A29" s="8" t="s">
        <v>30</v>
      </c>
    </row>
    <row r="30" customFormat="false" ht="46.25" hidden="false" customHeight="false" outlineLevel="0" collapsed="false">
      <c r="A30" s="8" t="s">
        <v>31</v>
      </c>
    </row>
    <row r="31" customFormat="false" ht="15" hidden="false" customHeight="false" outlineLevel="0" collapsed="false">
      <c r="A31" s="2" t="s">
        <v>32</v>
      </c>
    </row>
    <row r="32" customFormat="false" ht="31.3" hidden="false" customHeight="false" outlineLevel="0" collapsed="false">
      <c r="A32" s="8" t="s">
        <v>33</v>
      </c>
    </row>
    <row r="33" customFormat="false" ht="46.25" hidden="false" customHeight="false" outlineLevel="0" collapsed="false">
      <c r="A33" s="8" t="s">
        <v>34</v>
      </c>
    </row>
    <row r="34" customFormat="false" ht="31.3" hidden="false" customHeight="false" outlineLevel="0" collapsed="false">
      <c r="A34" s="8" t="s">
        <v>35</v>
      </c>
    </row>
    <row r="35" customFormat="false" ht="15" hidden="false" customHeight="false" outlineLevel="0" collapsed="false">
      <c r="A35" s="2" t="s">
        <v>36</v>
      </c>
    </row>
    <row r="36" customFormat="false" ht="31.3" hidden="false" customHeight="false" outlineLevel="0" collapsed="false">
      <c r="A36" s="8" t="s">
        <v>37</v>
      </c>
    </row>
    <row r="37" customFormat="false" ht="31.3" hidden="false" customHeight="false" outlineLevel="0" collapsed="false">
      <c r="A37" s="8" t="s">
        <v>38</v>
      </c>
    </row>
    <row r="38" customFormat="false" ht="31.3" hidden="false" customHeight="false" outlineLevel="0" collapsed="false">
      <c r="A38" s="8" t="s">
        <v>39</v>
      </c>
    </row>
    <row r="39" customFormat="false" ht="15" hidden="false" customHeight="false" outlineLevel="0" collapsed="false">
      <c r="A39" s="2" t="s">
        <v>40</v>
      </c>
    </row>
    <row r="40" customFormat="false" ht="46.25" hidden="false" customHeight="false" outlineLevel="0" collapsed="false">
      <c r="A40" s="8" t="s">
        <v>41</v>
      </c>
    </row>
    <row r="41" customFormat="false" ht="31.3" hidden="false" customHeight="false" outlineLevel="0" collapsed="false">
      <c r="A41" s="8" t="s">
        <v>42</v>
      </c>
    </row>
    <row r="42" customFormat="false" ht="31.3" hidden="false" customHeight="false" outlineLevel="0" collapsed="false">
      <c r="A42" s="8" t="s">
        <v>43</v>
      </c>
    </row>
    <row r="43" customFormat="false" ht="15" hidden="false" customHeight="false" outlineLevel="0" collapsed="false">
      <c r="A43" s="2" t="s">
        <v>44</v>
      </c>
    </row>
    <row r="44" customFormat="false" ht="76.1" hidden="false" customHeight="false" outlineLevel="0" collapsed="false">
      <c r="A44" s="8" t="s">
        <v>45</v>
      </c>
    </row>
    <row r="45" customFormat="false" ht="31.3" hidden="false" customHeight="false" outlineLevel="0" collapsed="false">
      <c r="A45" s="8" t="s">
        <v>46</v>
      </c>
    </row>
    <row r="46" customFormat="false" ht="46.25" hidden="false" customHeight="false" outlineLevel="0" collapsed="false">
      <c r="A46" s="8" t="s">
        <v>47</v>
      </c>
    </row>
    <row r="47" customFormat="false" ht="15" hidden="false" customHeight="false" outlineLevel="0" collapsed="false">
      <c r="A47" s="2" t="s">
        <v>48</v>
      </c>
    </row>
    <row r="48" customFormat="false" ht="61.15" hidden="false" customHeight="false" outlineLevel="0" collapsed="false">
      <c r="A48" s="8" t="s">
        <v>49</v>
      </c>
    </row>
    <row r="49" customFormat="false" ht="46.25" hidden="false" customHeight="false" outlineLevel="0" collapsed="false">
      <c r="A49" s="8" t="s">
        <v>50</v>
      </c>
    </row>
    <row r="50" customFormat="false" ht="46.25" hidden="false" customHeight="false" outlineLevel="0" collapsed="false">
      <c r="A50" s="8" t="s">
        <v>51</v>
      </c>
    </row>
    <row r="51" customFormat="false" ht="15" hidden="false" customHeight="false" outlineLevel="0" collapsed="false">
      <c r="A51" s="2" t="s">
        <v>52</v>
      </c>
    </row>
    <row r="52" customFormat="false" ht="31.3" hidden="false" customHeight="false" outlineLevel="0" collapsed="false">
      <c r="A52" s="8" t="s">
        <v>53</v>
      </c>
    </row>
    <row r="53" customFormat="false" ht="31.3" hidden="false" customHeight="false" outlineLevel="0" collapsed="false">
      <c r="A53" s="8" t="s">
        <v>54</v>
      </c>
    </row>
    <row r="54" customFormat="false" ht="16.4" hidden="false" customHeight="false" outlineLevel="0" collapsed="false">
      <c r="A54" s="8" t="s">
        <v>55</v>
      </c>
    </row>
    <row r="55" customFormat="false" ht="15" hidden="false" customHeight="false" outlineLevel="0" collapsed="false">
      <c r="A55" s="2" t="s">
        <v>56</v>
      </c>
    </row>
    <row r="56" customFormat="false" ht="31.3" hidden="false" customHeight="false" outlineLevel="0" collapsed="false">
      <c r="A56" s="8" t="s">
        <v>57</v>
      </c>
    </row>
    <row r="57" customFormat="false" ht="31.3" hidden="false" customHeight="false" outlineLevel="0" collapsed="false">
      <c r="A57" s="8" t="s">
        <v>58</v>
      </c>
    </row>
    <row r="58" customFormat="false" ht="31.3" hidden="false" customHeight="false" outlineLevel="0" collapsed="false">
      <c r="A58" s="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  <col collapsed="false" customWidth="true" hidden="true" outlineLevel="0" max="17" min="17" style="0" width="13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23</v>
      </c>
      <c r="K1" s="7" t="s">
        <v>24</v>
      </c>
      <c r="L1" s="7" t="s">
        <v>21</v>
      </c>
      <c r="M1" s="7" t="s">
        <v>69</v>
      </c>
      <c r="N1" s="7" t="s">
        <v>70</v>
      </c>
      <c r="O1" s="7" t="s">
        <v>71</v>
      </c>
      <c r="P1" s="7" t="s">
        <v>72</v>
      </c>
      <c r="Q1" s="7" t="s">
        <v>73</v>
      </c>
    </row>
    <row r="2" customFormat="false" ht="76.1" hidden="false" customHeight="false" outlineLevel="0" collapsed="false">
      <c r="A2" s="9" t="s">
        <v>74</v>
      </c>
      <c r="B2" s="9" t="s">
        <v>75</v>
      </c>
      <c r="C2" s="9" t="s">
        <v>76</v>
      </c>
      <c r="D2" s="9" t="s">
        <v>77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78</v>
      </c>
      <c r="N2" s="9"/>
      <c r="O2" s="9" t="s">
        <v>79</v>
      </c>
      <c r="P2" s="11" t="s">
        <v>80</v>
      </c>
      <c r="Q2" s="0" t="str">
        <f aca="false">$L2&amp;"|"&amp;COUNTIF($L$2:$L2,$L2)</f>
        <v>Matched|1</v>
      </c>
    </row>
    <row r="3" customFormat="false" ht="76.1" hidden="false" customHeight="false" outlineLevel="0" collapsed="false">
      <c r="A3" s="9" t="s">
        <v>74</v>
      </c>
      <c r="B3" s="9" t="s">
        <v>75</v>
      </c>
      <c r="C3" s="9" t="s">
        <v>81</v>
      </c>
      <c r="D3" s="9" t="s">
        <v>77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78</v>
      </c>
      <c r="N3" s="9"/>
      <c r="O3" s="9" t="s">
        <v>79</v>
      </c>
      <c r="P3" s="11" t="s">
        <v>82</v>
      </c>
      <c r="Q3" s="0" t="str">
        <f aca="false">$L3&amp;"|"&amp;COUNTIF($L$2:$L3,$L3)</f>
        <v>Matched|2</v>
      </c>
    </row>
    <row r="4" customFormat="false" ht="120.85" hidden="false" customHeight="false" outlineLevel="0" collapsed="false">
      <c r="A4" s="9" t="s">
        <v>83</v>
      </c>
      <c r="B4" s="9" t="s">
        <v>84</v>
      </c>
      <c r="C4" s="9" t="s">
        <v>85</v>
      </c>
      <c r="D4" s="9" t="s">
        <v>86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78</v>
      </c>
      <c r="N4" s="9"/>
      <c r="O4" s="9" t="s">
        <v>79</v>
      </c>
      <c r="P4" s="11" t="s">
        <v>87</v>
      </c>
      <c r="Q4" s="0" t="str">
        <f aca="false">$L4&amp;"|"&amp;COUNTIF($L$2:$L4,$L4)</f>
        <v>Matched|3</v>
      </c>
    </row>
    <row r="5" customFormat="false" ht="135.8" hidden="false" customHeight="false" outlineLevel="0" collapsed="false">
      <c r="A5" s="9" t="s">
        <v>88</v>
      </c>
      <c r="B5" s="9" t="s">
        <v>89</v>
      </c>
      <c r="C5" s="9" t="s">
        <v>90</v>
      </c>
      <c r="D5" s="9" t="s">
        <v>86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78</v>
      </c>
      <c r="N5" s="9"/>
      <c r="O5" s="9" t="s">
        <v>79</v>
      </c>
      <c r="P5" s="11" t="s">
        <v>91</v>
      </c>
      <c r="Q5" s="0" t="str">
        <f aca="false">$L5&amp;"|"&amp;COUNTIF($L$2:$L5,$L5)</f>
        <v>Matched|4</v>
      </c>
    </row>
    <row r="6" customFormat="false" ht="135.8" hidden="false" customHeight="false" outlineLevel="0" collapsed="false">
      <c r="A6" s="9" t="s">
        <v>88</v>
      </c>
      <c r="B6" s="9" t="s">
        <v>89</v>
      </c>
      <c r="C6" s="9" t="s">
        <v>92</v>
      </c>
      <c r="D6" s="9" t="s">
        <v>86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78</v>
      </c>
      <c r="N6" s="9"/>
      <c r="O6" s="9" t="s">
        <v>79</v>
      </c>
      <c r="P6" s="11" t="s">
        <v>93</v>
      </c>
      <c r="Q6" s="0" t="str">
        <f aca="false">$L6&amp;"|"&amp;COUNTIF($L$2:$L6,$L6)</f>
        <v>Matched|5</v>
      </c>
    </row>
    <row r="7" customFormat="false" ht="76.1" hidden="false" customHeight="false" outlineLevel="0" collapsed="false">
      <c r="A7" s="9" t="s">
        <v>74</v>
      </c>
      <c r="B7" s="9" t="s">
        <v>75</v>
      </c>
      <c r="C7" s="9" t="s">
        <v>94</v>
      </c>
      <c r="D7" s="9" t="s">
        <v>86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78</v>
      </c>
      <c r="N7" s="9"/>
      <c r="O7" s="9" t="s">
        <v>79</v>
      </c>
      <c r="P7" s="11" t="s">
        <v>95</v>
      </c>
      <c r="Q7" s="0" t="str">
        <f aca="false">$L7&amp;"|"&amp;COUNTIF($L$2:$L7,$L7)</f>
        <v>Matched|6</v>
      </c>
    </row>
    <row r="8" customFormat="false" ht="76.1" hidden="false" customHeight="false" outlineLevel="0" collapsed="false">
      <c r="A8" s="9" t="s">
        <v>74</v>
      </c>
      <c r="B8" s="9" t="s">
        <v>75</v>
      </c>
      <c r="C8" s="9" t="s">
        <v>96</v>
      </c>
      <c r="D8" s="9" t="s">
        <v>97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78</v>
      </c>
      <c r="N8" s="9"/>
      <c r="O8" s="9" t="s">
        <v>79</v>
      </c>
      <c r="P8" s="11" t="s">
        <v>98</v>
      </c>
      <c r="Q8" s="0" t="str">
        <f aca="false">$L8&amp;"|"&amp;COUNTIF($L$2:$L8,$L8)</f>
        <v>Matched|7</v>
      </c>
    </row>
    <row r="9" customFormat="false" ht="76.1" hidden="false" customHeight="false" outlineLevel="0" collapsed="false">
      <c r="A9" s="9" t="s">
        <v>74</v>
      </c>
      <c r="B9" s="9" t="s">
        <v>75</v>
      </c>
      <c r="C9" s="9" t="s">
        <v>99</v>
      </c>
      <c r="D9" s="9" t="s">
        <v>100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78</v>
      </c>
      <c r="N9" s="9"/>
      <c r="O9" s="9" t="s">
        <v>79</v>
      </c>
      <c r="P9" s="11" t="s">
        <v>101</v>
      </c>
      <c r="Q9" s="0" t="str">
        <f aca="false">$L9&amp;"|"&amp;COUNTIF($L$2:$L9,$L9)</f>
        <v>Matched|8</v>
      </c>
    </row>
    <row r="10" customFormat="false" ht="76.1" hidden="false" customHeight="false" outlineLevel="0" collapsed="false">
      <c r="A10" s="9" t="s">
        <v>74</v>
      </c>
      <c r="B10" s="9" t="s">
        <v>75</v>
      </c>
      <c r="C10" s="9" t="s">
        <v>102</v>
      </c>
      <c r="D10" s="9" t="s">
        <v>103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78</v>
      </c>
      <c r="N10" s="9"/>
      <c r="O10" s="9" t="s">
        <v>79</v>
      </c>
      <c r="P10" s="11" t="s">
        <v>104</v>
      </c>
      <c r="Q10" s="0" t="str">
        <f aca="false">$L10&amp;"|"&amp;COUNTIF($L$2:$L10,$L10)</f>
        <v>Matched|9</v>
      </c>
    </row>
    <row r="11" customFormat="false" ht="76.1" hidden="false" customHeight="false" outlineLevel="0" collapsed="false">
      <c r="A11" s="9" t="s">
        <v>74</v>
      </c>
      <c r="B11" s="9" t="s">
        <v>75</v>
      </c>
      <c r="C11" s="9" t="s">
        <v>105</v>
      </c>
      <c r="D11" s="9" t="s">
        <v>106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78</v>
      </c>
      <c r="N11" s="9"/>
      <c r="O11" s="9" t="s">
        <v>79</v>
      </c>
      <c r="P11" s="11" t="s">
        <v>107</v>
      </c>
      <c r="Q11" s="0" t="str">
        <f aca="false">$L11&amp;"|"&amp;COUNTIF($L$2:$L11,$L11)</f>
        <v>Matched|10</v>
      </c>
    </row>
    <row r="12" customFormat="false" ht="76.1" hidden="false" customHeight="false" outlineLevel="0" collapsed="false">
      <c r="A12" s="9" t="s">
        <v>74</v>
      </c>
      <c r="B12" s="9" t="s">
        <v>75</v>
      </c>
      <c r="C12" s="9" t="s">
        <v>108</v>
      </c>
      <c r="D12" s="9" t="s">
        <v>106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78</v>
      </c>
      <c r="N12" s="9"/>
      <c r="O12" s="9" t="s">
        <v>79</v>
      </c>
      <c r="P12" s="11" t="s">
        <v>109</v>
      </c>
      <c r="Q12" s="0" t="str">
        <f aca="false">$L12&amp;"|"&amp;COUNTIF($L$2:$L12,$L12)</f>
        <v>Matched|11</v>
      </c>
    </row>
    <row r="13" customFormat="false" ht="76.1" hidden="false" customHeight="false" outlineLevel="0" collapsed="false">
      <c r="A13" s="9" t="s">
        <v>74</v>
      </c>
      <c r="B13" s="9" t="s">
        <v>75</v>
      </c>
      <c r="C13" s="9" t="s">
        <v>110</v>
      </c>
      <c r="D13" s="9" t="s">
        <v>106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78</v>
      </c>
      <c r="N13" s="9"/>
      <c r="O13" s="9" t="s">
        <v>79</v>
      </c>
      <c r="P13" s="11" t="s">
        <v>111</v>
      </c>
      <c r="Q13" s="0" t="str">
        <f aca="false">$L13&amp;"|"&amp;COUNTIF($L$2:$L13,$L13)</f>
        <v>Matched|12</v>
      </c>
    </row>
    <row r="14" customFormat="false" ht="76.1" hidden="false" customHeight="false" outlineLevel="0" collapsed="false">
      <c r="A14" s="9" t="s">
        <v>74</v>
      </c>
      <c r="B14" s="9" t="s">
        <v>75</v>
      </c>
      <c r="C14" s="9" t="s">
        <v>112</v>
      </c>
      <c r="D14" s="9" t="s">
        <v>113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78</v>
      </c>
      <c r="N14" s="9"/>
      <c r="O14" s="9" t="s">
        <v>79</v>
      </c>
      <c r="P14" s="11" t="s">
        <v>114</v>
      </c>
      <c r="Q14" s="0" t="str">
        <f aca="false">$L14&amp;"|"&amp;COUNTIF($L$2:$L14,$L14)</f>
        <v>Matched|13</v>
      </c>
    </row>
    <row r="15" customFormat="false" ht="120.85" hidden="false" customHeight="false" outlineLevel="0" collapsed="false">
      <c r="A15" s="9" t="s">
        <v>115</v>
      </c>
      <c r="B15" s="9" t="s">
        <v>116</v>
      </c>
      <c r="C15" s="9" t="s">
        <v>117</v>
      </c>
      <c r="D15" s="9" t="s">
        <v>118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78</v>
      </c>
      <c r="N15" s="9"/>
      <c r="O15" s="9" t="s">
        <v>79</v>
      </c>
      <c r="P15" s="11" t="s">
        <v>119</v>
      </c>
      <c r="Q15" s="0" t="str">
        <f aca="false">$L15&amp;"|"&amp;COUNTIF($L$2:$L15,$L15)</f>
        <v>Matched|14</v>
      </c>
    </row>
    <row r="16" customFormat="false" ht="135.8" hidden="false" customHeight="false" outlineLevel="0" collapsed="false">
      <c r="A16" s="9" t="s">
        <v>120</v>
      </c>
      <c r="B16" s="9" t="s">
        <v>121</v>
      </c>
      <c r="C16" s="9" t="s">
        <v>122</v>
      </c>
      <c r="D16" s="9" t="s">
        <v>123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78</v>
      </c>
      <c r="N16" s="9"/>
      <c r="O16" s="9" t="s">
        <v>79</v>
      </c>
      <c r="P16" s="11" t="s">
        <v>124</v>
      </c>
      <c r="Q16" s="0" t="str">
        <f aca="false">$L16&amp;"|"&amp;COUNTIF($L$2:$L16,$L16)</f>
        <v>Matched|15</v>
      </c>
    </row>
    <row r="17" customFormat="false" ht="120.85" hidden="false" customHeight="false" outlineLevel="0" collapsed="false">
      <c r="A17" s="9" t="s">
        <v>83</v>
      </c>
      <c r="B17" s="9" t="s">
        <v>84</v>
      </c>
      <c r="C17" s="9" t="s">
        <v>125</v>
      </c>
      <c r="D17" s="9" t="s">
        <v>123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78</v>
      </c>
      <c r="N17" s="9"/>
      <c r="O17" s="9" t="s">
        <v>79</v>
      </c>
      <c r="P17" s="11" t="s">
        <v>126</v>
      </c>
      <c r="Q17" s="0" t="str">
        <f aca="false">$L17&amp;"|"&amp;COUNTIF($L$2:$L17,$L17)</f>
        <v>Matched|16</v>
      </c>
    </row>
    <row r="18" customFormat="false" ht="76.1" hidden="false" customHeight="false" outlineLevel="0" collapsed="false">
      <c r="A18" s="9" t="s">
        <v>74</v>
      </c>
      <c r="B18" s="9" t="s">
        <v>75</v>
      </c>
      <c r="C18" s="9" t="s">
        <v>127</v>
      </c>
      <c r="D18" s="9" t="s">
        <v>123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78</v>
      </c>
      <c r="N18" s="9"/>
      <c r="O18" s="9" t="s">
        <v>79</v>
      </c>
      <c r="P18" s="11" t="s">
        <v>128</v>
      </c>
      <c r="Q18" s="0" t="str">
        <f aca="false">$L18&amp;"|"&amp;COUNTIF($L$2:$L18,$L18)</f>
        <v>Matched|17</v>
      </c>
    </row>
    <row r="19" customFormat="false" ht="76.1" hidden="false" customHeight="false" outlineLevel="0" collapsed="false">
      <c r="A19" s="9" t="s">
        <v>74</v>
      </c>
      <c r="B19" s="9" t="s">
        <v>75</v>
      </c>
      <c r="C19" s="9" t="s">
        <v>129</v>
      </c>
      <c r="D19" s="9" t="s">
        <v>123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78</v>
      </c>
      <c r="N19" s="9"/>
      <c r="O19" s="9" t="s">
        <v>79</v>
      </c>
      <c r="P19" s="11" t="s">
        <v>130</v>
      </c>
      <c r="Q19" s="0" t="str">
        <f aca="false">$L19&amp;"|"&amp;COUNTIF($L$2:$L19,$L19)</f>
        <v>Matched|18</v>
      </c>
    </row>
    <row r="20" customFormat="false" ht="135.8" hidden="false" customHeight="false" outlineLevel="0" collapsed="false">
      <c r="A20" s="9" t="s">
        <v>88</v>
      </c>
      <c r="B20" s="9" t="s">
        <v>89</v>
      </c>
      <c r="C20" s="9" t="s">
        <v>131</v>
      </c>
      <c r="D20" s="9" t="s">
        <v>132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78</v>
      </c>
      <c r="N20" s="9"/>
      <c r="O20" s="9" t="s">
        <v>79</v>
      </c>
      <c r="P20" s="11" t="s">
        <v>133</v>
      </c>
      <c r="Q20" s="0" t="str">
        <f aca="false">$L20&amp;"|"&amp;COUNTIF($L$2:$L20,$L20)</f>
        <v>Matched|19</v>
      </c>
    </row>
    <row r="21" customFormat="false" ht="61.15" hidden="false" customHeight="false" outlineLevel="0" collapsed="false">
      <c r="A21" s="9" t="s">
        <v>134</v>
      </c>
      <c r="B21" s="9" t="s">
        <v>135</v>
      </c>
      <c r="C21" s="9" t="s">
        <v>136</v>
      </c>
      <c r="D21" s="9" t="s">
        <v>132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78</v>
      </c>
      <c r="N21" s="9"/>
      <c r="O21" s="9" t="s">
        <v>79</v>
      </c>
      <c r="P21" s="11" t="s">
        <v>137</v>
      </c>
      <c r="Q21" s="0" t="str">
        <f aca="false">$L21&amp;"|"&amp;COUNTIF($L$2:$L21,$L21)</f>
        <v>Matched|20</v>
      </c>
    </row>
    <row r="22" customFormat="false" ht="61.15" hidden="false" customHeight="false" outlineLevel="0" collapsed="false">
      <c r="A22" s="9" t="s">
        <v>134</v>
      </c>
      <c r="B22" s="9" t="s">
        <v>135</v>
      </c>
      <c r="C22" s="9" t="s">
        <v>138</v>
      </c>
      <c r="D22" s="9" t="s">
        <v>132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78</v>
      </c>
      <c r="N22" s="9"/>
      <c r="O22" s="9" t="s">
        <v>79</v>
      </c>
      <c r="P22" s="11" t="s">
        <v>139</v>
      </c>
      <c r="Q22" s="0" t="str">
        <f aca="false">$L22&amp;"|"&amp;COUNTIF($L$2:$L22,$L22)</f>
        <v>Matched|21</v>
      </c>
    </row>
    <row r="23" customFormat="false" ht="76.1" hidden="false" customHeight="false" outlineLevel="0" collapsed="false">
      <c r="A23" s="9" t="s">
        <v>74</v>
      </c>
      <c r="B23" s="9" t="s">
        <v>75</v>
      </c>
      <c r="C23" s="9" t="s">
        <v>140</v>
      </c>
      <c r="D23" s="9" t="s">
        <v>132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78</v>
      </c>
      <c r="N23" s="9"/>
      <c r="O23" s="9" t="s">
        <v>79</v>
      </c>
      <c r="P23" s="11" t="s">
        <v>141</v>
      </c>
      <c r="Q23" s="0" t="str">
        <f aca="false">$L23&amp;"|"&amp;COUNTIF($L$2:$L23,$L23)</f>
        <v>Matched|22</v>
      </c>
    </row>
    <row r="24" customFormat="false" ht="76.1" hidden="false" customHeight="false" outlineLevel="0" collapsed="false">
      <c r="A24" s="9" t="s">
        <v>74</v>
      </c>
      <c r="B24" s="9" t="s">
        <v>75</v>
      </c>
      <c r="C24" s="9" t="s">
        <v>142</v>
      </c>
      <c r="D24" s="9" t="s">
        <v>132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78</v>
      </c>
      <c r="N24" s="9"/>
      <c r="O24" s="9" t="s">
        <v>79</v>
      </c>
      <c r="P24" s="11" t="s">
        <v>143</v>
      </c>
      <c r="Q24" s="0" t="str">
        <f aca="false">$L24&amp;"|"&amp;COUNTIF($L$2:$L24,$L24)</f>
        <v>Matched|23</v>
      </c>
    </row>
    <row r="25" customFormat="false" ht="76.1" hidden="false" customHeight="false" outlineLevel="0" collapsed="false">
      <c r="A25" s="9" t="s">
        <v>74</v>
      </c>
      <c r="B25" s="9" t="s">
        <v>75</v>
      </c>
      <c r="C25" s="9" t="s">
        <v>144</v>
      </c>
      <c r="D25" s="9" t="s">
        <v>145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78</v>
      </c>
      <c r="N25" s="9"/>
      <c r="O25" s="9" t="s">
        <v>79</v>
      </c>
      <c r="P25" s="11" t="s">
        <v>146</v>
      </c>
      <c r="Q25" s="0" t="str">
        <f aca="false">$L25&amp;"|"&amp;COUNTIF($L$2:$L25,$L25)</f>
        <v>Matched|24</v>
      </c>
    </row>
    <row r="26" customFormat="false" ht="61.15" hidden="false" customHeight="false" outlineLevel="0" collapsed="false">
      <c r="A26" s="9" t="s">
        <v>147</v>
      </c>
      <c r="B26" s="9" t="s">
        <v>148</v>
      </c>
      <c r="C26" s="9" t="s">
        <v>149</v>
      </c>
      <c r="D26" s="9" t="s">
        <v>150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78</v>
      </c>
      <c r="N26" s="9"/>
      <c r="O26" s="9" t="s">
        <v>79</v>
      </c>
      <c r="P26" s="11" t="s">
        <v>151</v>
      </c>
      <c r="Q26" s="0" t="str">
        <f aca="false">$L26&amp;"|"&amp;COUNTIF($L$2:$L26,$L26)</f>
        <v>Matched|25</v>
      </c>
    </row>
    <row r="27" customFormat="false" ht="76.1" hidden="false" customHeight="false" outlineLevel="0" collapsed="false">
      <c r="A27" s="9" t="s">
        <v>74</v>
      </c>
      <c r="B27" s="9" t="s">
        <v>75</v>
      </c>
      <c r="C27" s="9" t="s">
        <v>152</v>
      </c>
      <c r="D27" s="9" t="s">
        <v>153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78</v>
      </c>
      <c r="N27" s="9"/>
      <c r="O27" s="9" t="s">
        <v>79</v>
      </c>
      <c r="P27" s="11" t="s">
        <v>154</v>
      </c>
      <c r="Q27" s="0" t="str">
        <f aca="false">$L27&amp;"|"&amp;COUNTIF($L$2:$L27,$L27)</f>
        <v>Matched|26</v>
      </c>
    </row>
    <row r="28" customFormat="false" ht="135.8" hidden="false" customHeight="false" outlineLevel="0" collapsed="false">
      <c r="A28" s="9" t="s">
        <v>88</v>
      </c>
      <c r="B28" s="9" t="s">
        <v>89</v>
      </c>
      <c r="C28" s="9" t="s">
        <v>155</v>
      </c>
      <c r="D28" s="9" t="s">
        <v>156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78</v>
      </c>
      <c r="N28" s="9"/>
      <c r="O28" s="9" t="s">
        <v>79</v>
      </c>
      <c r="P28" s="11" t="s">
        <v>157</v>
      </c>
      <c r="Q28" s="0" t="str">
        <f aca="false">$L28&amp;"|"&amp;COUNTIF($L$2:$L28,$L28)</f>
        <v>Matched|27</v>
      </c>
    </row>
    <row r="29" customFormat="false" ht="76.1" hidden="false" customHeight="false" outlineLevel="0" collapsed="false">
      <c r="A29" s="9" t="s">
        <v>74</v>
      </c>
      <c r="B29" s="9" t="s">
        <v>75</v>
      </c>
      <c r="C29" s="9" t="s">
        <v>158</v>
      </c>
      <c r="D29" s="9" t="s">
        <v>156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78</v>
      </c>
      <c r="N29" s="9"/>
      <c r="O29" s="9" t="s">
        <v>79</v>
      </c>
      <c r="P29" s="11" t="s">
        <v>159</v>
      </c>
      <c r="Q29" s="0" t="str">
        <f aca="false">$L29&amp;"|"&amp;COUNTIF($L$2:$L29,$L29)</f>
        <v>Matched|28</v>
      </c>
    </row>
    <row r="30" customFormat="false" ht="76.1" hidden="false" customHeight="false" outlineLevel="0" collapsed="false">
      <c r="A30" s="9" t="s">
        <v>74</v>
      </c>
      <c r="B30" s="9" t="s">
        <v>75</v>
      </c>
      <c r="C30" s="9" t="s">
        <v>160</v>
      </c>
      <c r="D30" s="9" t="s">
        <v>156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78</v>
      </c>
      <c r="N30" s="9"/>
      <c r="O30" s="9" t="s">
        <v>79</v>
      </c>
      <c r="P30" s="11" t="s">
        <v>161</v>
      </c>
      <c r="Q30" s="0" t="str">
        <f aca="false">$L30&amp;"|"&amp;COUNTIF($L$2:$L30,$L30)</f>
        <v>Matched|29</v>
      </c>
    </row>
    <row r="31" customFormat="false" ht="76.1" hidden="false" customHeight="false" outlineLevel="0" collapsed="false">
      <c r="A31" s="9" t="s">
        <v>74</v>
      </c>
      <c r="B31" s="9" t="s">
        <v>75</v>
      </c>
      <c r="C31" s="9" t="s">
        <v>162</v>
      </c>
      <c r="D31" s="9" t="s">
        <v>156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78</v>
      </c>
      <c r="N31" s="9"/>
      <c r="O31" s="9" t="s">
        <v>79</v>
      </c>
      <c r="P31" s="11" t="s">
        <v>163</v>
      </c>
      <c r="Q31" s="0" t="str">
        <f aca="false">$L31&amp;"|"&amp;COUNTIF($L$2:$L31,$L31)</f>
        <v>Matched|30</v>
      </c>
    </row>
    <row r="32" customFormat="false" ht="76.1" hidden="false" customHeight="false" outlineLevel="0" collapsed="false">
      <c r="A32" s="9" t="s">
        <v>74</v>
      </c>
      <c r="B32" s="9" t="s">
        <v>75</v>
      </c>
      <c r="C32" s="9" t="s">
        <v>164</v>
      </c>
      <c r="D32" s="9" t="s">
        <v>165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78</v>
      </c>
      <c r="N32" s="9"/>
      <c r="O32" s="9" t="s">
        <v>79</v>
      </c>
      <c r="P32" s="11" t="s">
        <v>166</v>
      </c>
      <c r="Q32" s="0" t="str">
        <f aca="false">$L32&amp;"|"&amp;COUNTIF($L$2:$L32,$L32)</f>
        <v>Matched|31</v>
      </c>
    </row>
    <row r="33" customFormat="false" ht="76.1" hidden="false" customHeight="false" outlineLevel="0" collapsed="false">
      <c r="A33" s="9" t="s">
        <v>74</v>
      </c>
      <c r="B33" s="9" t="s">
        <v>75</v>
      </c>
      <c r="C33" s="9" t="s">
        <v>167</v>
      </c>
      <c r="D33" s="9" t="s">
        <v>165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78</v>
      </c>
      <c r="N33" s="9"/>
      <c r="O33" s="9" t="s">
        <v>79</v>
      </c>
      <c r="P33" s="11" t="s">
        <v>168</v>
      </c>
      <c r="Q33" s="0" t="str">
        <f aca="false">$L33&amp;"|"&amp;COUNTIF($L$2:$L33,$L33)</f>
        <v>Matched|32</v>
      </c>
    </row>
    <row r="34" customFormat="false" ht="76.1" hidden="false" customHeight="false" outlineLevel="0" collapsed="false">
      <c r="A34" s="9" t="s">
        <v>74</v>
      </c>
      <c r="B34" s="9" t="s">
        <v>75</v>
      </c>
      <c r="C34" s="9" t="s">
        <v>169</v>
      </c>
      <c r="D34" s="9" t="s">
        <v>165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78</v>
      </c>
      <c r="N34" s="9"/>
      <c r="O34" s="9" t="s">
        <v>79</v>
      </c>
      <c r="P34" s="11" t="s">
        <v>170</v>
      </c>
      <c r="Q34" s="0" t="str">
        <f aca="false">$L34&amp;"|"&amp;COUNTIF($L$2:$L34,$L34)</f>
        <v>Matched|33</v>
      </c>
    </row>
    <row r="35" customFormat="false" ht="76.1" hidden="false" customHeight="false" outlineLevel="0" collapsed="false">
      <c r="A35" s="9" t="s">
        <v>74</v>
      </c>
      <c r="B35" s="9" t="s">
        <v>75</v>
      </c>
      <c r="C35" s="9" t="s">
        <v>171</v>
      </c>
      <c r="D35" s="9" t="s">
        <v>165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78</v>
      </c>
      <c r="N35" s="9"/>
      <c r="O35" s="9" t="s">
        <v>79</v>
      </c>
      <c r="P35" s="11" t="s">
        <v>172</v>
      </c>
      <c r="Q35" s="0" t="str">
        <f aca="false">$L35&amp;"|"&amp;COUNTIF($L$2:$L35,$L35)</f>
        <v>Matched|34</v>
      </c>
    </row>
    <row r="36" customFormat="false" ht="76.1" hidden="false" customHeight="false" outlineLevel="0" collapsed="false">
      <c r="A36" s="9" t="s">
        <v>74</v>
      </c>
      <c r="B36" s="9" t="s">
        <v>75</v>
      </c>
      <c r="C36" s="9" t="s">
        <v>173</v>
      </c>
      <c r="D36" s="9" t="s">
        <v>165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78</v>
      </c>
      <c r="N36" s="9"/>
      <c r="O36" s="9" t="s">
        <v>79</v>
      </c>
      <c r="P36" s="11" t="s">
        <v>174</v>
      </c>
      <c r="Q36" s="0" t="str">
        <f aca="false">$L36&amp;"|"&amp;COUNTIF($L$2:$L36,$L36)</f>
        <v>Matched|35</v>
      </c>
    </row>
    <row r="37" customFormat="false" ht="76.1" hidden="false" customHeight="false" outlineLevel="0" collapsed="false">
      <c r="A37" s="12" t="s">
        <v>175</v>
      </c>
      <c r="B37" s="12" t="s">
        <v>176</v>
      </c>
      <c r="C37" s="12" t="s">
        <v>177</v>
      </c>
      <c r="D37" s="12" t="s">
        <v>178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25</v>
      </c>
      <c r="M37" s="12" t="s">
        <v>179</v>
      </c>
      <c r="N37" s="12"/>
      <c r="O37" s="12" t="s">
        <v>180</v>
      </c>
      <c r="P37" s="14" t="s">
        <v>181</v>
      </c>
      <c r="Q37" s="0" t="str">
        <f aca="false">$L37&amp;"|"&amp;COUNTIF($L$2:$L37,$L37)</f>
        <v>Not in Books|1</v>
      </c>
    </row>
    <row r="38" customFormat="false" ht="76.1" hidden="false" customHeight="false" outlineLevel="0" collapsed="false">
      <c r="A38" s="12" t="s">
        <v>182</v>
      </c>
      <c r="B38" s="12" t="s">
        <v>183</v>
      </c>
      <c r="C38" s="12" t="s">
        <v>184</v>
      </c>
      <c r="D38" s="12" t="s">
        <v>165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25</v>
      </c>
      <c r="M38" s="12" t="s">
        <v>78</v>
      </c>
      <c r="N38" s="12"/>
      <c r="O38" s="12" t="s">
        <v>180</v>
      </c>
      <c r="P38" s="14" t="s">
        <v>185</v>
      </c>
      <c r="Q38" s="0" t="str">
        <f aca="false">$L38&amp;"|"&amp;COUNTIF($L$2:$L38,$L38)</f>
        <v>Not in Books|2</v>
      </c>
    </row>
    <row r="39" customFormat="false" ht="76.1" hidden="false" customHeight="false" outlineLevel="0" collapsed="false">
      <c r="A39" s="12" t="s">
        <v>186</v>
      </c>
      <c r="B39" s="12" t="s">
        <v>187</v>
      </c>
      <c r="C39" s="12" t="s">
        <v>188</v>
      </c>
      <c r="D39" s="12" t="s">
        <v>165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25</v>
      </c>
      <c r="M39" s="12" t="s">
        <v>78</v>
      </c>
      <c r="N39" s="12"/>
      <c r="O39" s="12" t="s">
        <v>180</v>
      </c>
      <c r="P39" s="14" t="s">
        <v>189</v>
      </c>
      <c r="Q39" s="0" t="str">
        <f aca="false">$L39&amp;"|"&amp;COUNTIF($L$2:$L39,$L39)</f>
        <v>Not in Books|3</v>
      </c>
    </row>
    <row r="40" customFormat="false" ht="61.15" hidden="false" customHeight="false" outlineLevel="0" collapsed="false">
      <c r="A40" s="12" t="s">
        <v>190</v>
      </c>
      <c r="B40" s="12" t="s">
        <v>191</v>
      </c>
      <c r="C40" s="12" t="s">
        <v>192</v>
      </c>
      <c r="D40" s="12" t="s">
        <v>77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25</v>
      </c>
      <c r="M40" s="12" t="s">
        <v>78</v>
      </c>
      <c r="N40" s="12"/>
      <c r="O40" s="12" t="s">
        <v>180</v>
      </c>
      <c r="P40" s="14" t="s">
        <v>193</v>
      </c>
      <c r="Q40" s="0" t="str">
        <f aca="false">$L40&amp;"|"&amp;COUNTIF($L$2:$L40,$L40)</f>
        <v>Not in Books|4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23</v>
      </c>
      <c r="K1" s="7" t="s">
        <v>24</v>
      </c>
      <c r="L1" s="7" t="s">
        <v>21</v>
      </c>
      <c r="M1" s="7" t="s">
        <v>69</v>
      </c>
      <c r="N1" s="7" t="s">
        <v>70</v>
      </c>
      <c r="O1" s="7" t="s">
        <v>71</v>
      </c>
      <c r="P1" s="7" t="s">
        <v>72</v>
      </c>
    </row>
    <row r="2" customFormat="false" ht="76.1" hidden="false" customHeight="false" outlineLevel="0" collapsed="false">
      <c r="A2" s="9" t="str">
        <f aca="false">IFERROR(INDEX('Master data'!A$2:A$40,MATCH("Matched|"&amp;(ROW()-1),'Master data'!$Q$2:$Q$40,0)),"")</f>
        <v>SURAJ BHAN SUNIL KUMAR &amp;CO.</v>
      </c>
      <c r="B2" s="9" t="str">
        <f aca="false">IFERROR(INDEX('Master data'!B$2:B$40,MATCH("Matched|"&amp;(ROW()-1),'Master data'!$Q$2:$Q$40,0)),"")</f>
        <v>07AAXFS9006M1ZC</v>
      </c>
      <c r="C2" s="9" t="str">
        <f aca="false">IFERROR(INDEX('Master data'!C$2:C$40,MATCH("Matched|"&amp;(ROW()-1),'Master data'!$Q$2:$Q$40,0)),"")</f>
        <v>T11439</v>
      </c>
      <c r="D2" s="9" t="str">
        <f aca="false">IFERROR(INDEX('Master data'!D$2:D$40,MATCH("Matched|"&amp;(ROW()-1),'Master data'!$Q$2:$Q$40,0)),"")</f>
        <v>01 Aug 2026</v>
      </c>
      <c r="E2" s="10" t="n">
        <f aca="false">IFERROR(INDEX('Master data'!E$2:E$40,MATCH("Matched|"&amp;(ROW()-1),'Master data'!$Q$2:$Q$40,0)),"")</f>
        <v>16460</v>
      </c>
      <c r="F2" s="10" t="n">
        <f aca="false">IFERROR(INDEX('Master data'!F$2:F$40,MATCH("Matched|"&amp;(ROW()-1),'Master data'!$Q$2:$Q$40,0)),"")</f>
        <v>0</v>
      </c>
      <c r="G2" s="10" t="n">
        <f aca="false">IFERROR(INDEX('Master data'!G$2:G$40,MATCH("Matched|"&amp;(ROW()-1),'Master data'!$Q$2:$Q$40,0)),"")</f>
        <v>1481.4</v>
      </c>
      <c r="H2" s="10" t="n">
        <f aca="false">IFERROR(INDEX('Master data'!H$2:H$40,MATCH("Matched|"&amp;(ROW()-1),'Master data'!$Q$2:$Q$40,0)),"")</f>
        <v>1481.4</v>
      </c>
      <c r="I2" s="10" t="n">
        <f aca="false">IFERROR(INDEX('Master data'!I$2:I$40,MATCH("Matched|"&amp;(ROW()-1),'Master data'!$Q$2:$Q$40,0)),"")</f>
        <v>0</v>
      </c>
      <c r="J2" s="10" t="n">
        <f aca="false">IFERROR(INDEX('Master data'!J$2:J$40,MATCH("Matched|"&amp;(ROW()-1),'Master data'!$Q$2:$Q$40,0)),"")</f>
        <v>2962.8</v>
      </c>
      <c r="K2" s="10" t="n">
        <f aca="false">IFERROR(INDEX('Master data'!K$2:K$40,MATCH("Matched|"&amp;(ROW()-1),'Master data'!$Q$2:$Q$40,0)),"")</f>
        <v>19423</v>
      </c>
      <c r="L2" s="9" t="str">
        <f aca="false">IFERROR(INDEX('Master data'!L$2:L$40,MATCH("Matched|"&amp;(ROW()-1),'Master data'!$Q$2:$Q$40,0)),"")</f>
        <v>Matched</v>
      </c>
      <c r="M2" s="9" t="str">
        <f aca="false">IFERROR(INDEX('Master data'!M$2:M$40,MATCH("Matched|"&amp;(ROW()-1),'Master data'!$Q$2:$Q$40,0)),"")</f>
        <v>Not reviewed</v>
      </c>
      <c r="N2" s="9" t="n">
        <f aca="false">IFERROR(INDEX('Master data'!N$2:N$40,MATCH("Matched|"&amp;(ROW()-1),'Master data'!$Q$2:$Q$40,0)),"")</f>
        <v>0</v>
      </c>
      <c r="O2" s="9" t="str">
        <f aca="false">IFERROR(INDEX('Master data'!O$2:O$40,MATCH("Matched|"&amp;(ROW()-1),'Master data'!$Q$2:$Q$40,0)),"")</f>
        <v>High — 98%</v>
      </c>
      <c r="P2" s="11" t="str">
        <f aca="false">IFERROR(INDEX('Master data'!P$2:P$40,MATCH("Matched|"&amp;(ROW()-1),'Master data'!$Q$2:$Q$40,0)),"")</f>
        <v>Matched on: GSTIN 07AAXFS9006M1ZC, invoice 'T11439' (books) / 'T11439/26-27' (portal); taxable value, CGST, SGST, IGST and cess all agree.</v>
      </c>
    </row>
    <row r="3" customFormat="false" ht="76.1" hidden="false" customHeight="false" outlineLevel="0" collapsed="false">
      <c r="A3" s="9" t="str">
        <f aca="false">IFERROR(INDEX('Master data'!A$2:A$40,MATCH("Matched|"&amp;(ROW()-1),'Master data'!$Q$2:$Q$40,0)),"")</f>
        <v>SURAJ BHAN SUNIL KUMAR &amp;CO.</v>
      </c>
      <c r="B3" s="9" t="str">
        <f aca="false">IFERROR(INDEX('Master data'!B$2:B$40,MATCH("Matched|"&amp;(ROW()-1),'Master data'!$Q$2:$Q$40,0)),"")</f>
        <v>07AAXFS9006M1ZC</v>
      </c>
      <c r="C3" s="9" t="str">
        <f aca="false">IFERROR(INDEX('Master data'!C$2:C$40,MATCH("Matched|"&amp;(ROW()-1),'Master data'!$Q$2:$Q$40,0)),"")</f>
        <v>T11451</v>
      </c>
      <c r="D3" s="9" t="str">
        <f aca="false">IFERROR(INDEX('Master data'!D$2:D$40,MATCH("Matched|"&amp;(ROW()-1),'Master data'!$Q$2:$Q$40,0)),"")</f>
        <v>01 Aug 2026</v>
      </c>
      <c r="E3" s="10" t="n">
        <f aca="false">IFERROR(INDEX('Master data'!E$2:E$40,MATCH("Matched|"&amp;(ROW()-1),'Master data'!$Q$2:$Q$40,0)),"")</f>
        <v>22530</v>
      </c>
      <c r="F3" s="10" t="n">
        <f aca="false">IFERROR(INDEX('Master data'!F$2:F$40,MATCH("Matched|"&amp;(ROW()-1),'Master data'!$Q$2:$Q$40,0)),"")</f>
        <v>0</v>
      </c>
      <c r="G3" s="10" t="n">
        <f aca="false">IFERROR(INDEX('Master data'!G$2:G$40,MATCH("Matched|"&amp;(ROW()-1),'Master data'!$Q$2:$Q$40,0)),"")</f>
        <v>2027.7</v>
      </c>
      <c r="H3" s="10" t="n">
        <f aca="false">IFERROR(INDEX('Master data'!H$2:H$40,MATCH("Matched|"&amp;(ROW()-1),'Master data'!$Q$2:$Q$40,0)),"")</f>
        <v>2027.7</v>
      </c>
      <c r="I3" s="10" t="n">
        <f aca="false">IFERROR(INDEX('Master data'!I$2:I$40,MATCH("Matched|"&amp;(ROW()-1),'Master data'!$Q$2:$Q$40,0)),"")</f>
        <v>0</v>
      </c>
      <c r="J3" s="10" t="n">
        <f aca="false">IFERROR(INDEX('Master data'!J$2:J$40,MATCH("Matched|"&amp;(ROW()-1),'Master data'!$Q$2:$Q$40,0)),"")</f>
        <v>4055.4</v>
      </c>
      <c r="K3" s="10" t="n">
        <f aca="false">IFERROR(INDEX('Master data'!K$2:K$40,MATCH("Matched|"&amp;(ROW()-1),'Master data'!$Q$2:$Q$40,0)),"")</f>
        <v>26585</v>
      </c>
      <c r="L3" s="9" t="str">
        <f aca="false">IFERROR(INDEX('Master data'!L$2:L$40,MATCH("Matched|"&amp;(ROW()-1),'Master data'!$Q$2:$Q$40,0)),"")</f>
        <v>Matched</v>
      </c>
      <c r="M3" s="9" t="str">
        <f aca="false">IFERROR(INDEX('Master data'!M$2:M$40,MATCH("Matched|"&amp;(ROW()-1),'Master data'!$Q$2:$Q$40,0)),"")</f>
        <v>Not reviewed</v>
      </c>
      <c r="N3" s="9" t="n">
        <f aca="false">IFERROR(INDEX('Master data'!N$2:N$40,MATCH("Matched|"&amp;(ROW()-1),'Master data'!$Q$2:$Q$40,0)),"")</f>
        <v>0</v>
      </c>
      <c r="O3" s="9" t="str">
        <f aca="false">IFERROR(INDEX('Master data'!O$2:O$40,MATCH("Matched|"&amp;(ROW()-1),'Master data'!$Q$2:$Q$40,0)),"")</f>
        <v>High — 98%</v>
      </c>
      <c r="P3" s="11" t="str">
        <f aca="false">IFERROR(INDEX('Master data'!P$2:P$40,MATCH("Matched|"&amp;(ROW()-1),'Master data'!$Q$2:$Q$40,0)),"")</f>
        <v>Matched on: GSTIN 07AAXFS9006M1ZC, invoice 'T11451' (books) / 'T11451/26-27' (portal); taxable value, CGST, SGST, IGST and cess all agree.</v>
      </c>
    </row>
    <row r="4" customFormat="false" ht="120.85" hidden="false" customHeight="false" outlineLevel="0" collapsed="false">
      <c r="A4" s="9" t="str">
        <f aca="false">IFERROR(INDEX('Master data'!A$2:A$40,MATCH("Matched|"&amp;(ROW()-1),'Master data'!$Q$2:$Q$40,0)),"")</f>
        <v>ROOP LAXMI SAREES (P) LTD.</v>
      </c>
      <c r="B4" s="9" t="str">
        <f aca="false">IFERROR(INDEX('Master data'!B$2:B$40,MATCH("Matched|"&amp;(ROW()-1),'Master data'!$Q$2:$Q$40,0)),"")</f>
        <v>07AACCR8869H1ZU</v>
      </c>
      <c r="C4" s="9" t="str">
        <f aca="false">IFERROR(INDEX('Master data'!C$2:C$40,MATCH("Matched|"&amp;(ROW()-1),'Master data'!$Q$2:$Q$40,0)),"")</f>
        <v>2915</v>
      </c>
      <c r="D4" s="9" t="str">
        <f aca="false">IFERROR(INDEX('Master data'!D$2:D$40,MATCH("Matched|"&amp;(ROW()-1),'Master data'!$Q$2:$Q$40,0)),"")</f>
        <v>03 Aug 2026</v>
      </c>
      <c r="E4" s="10" t="n">
        <f aca="false">IFERROR(INDEX('Master data'!E$2:E$40,MATCH("Matched|"&amp;(ROW()-1),'Master data'!$Q$2:$Q$40,0)),"")</f>
        <v>7693</v>
      </c>
      <c r="F4" s="10" t="n">
        <f aca="false">IFERROR(INDEX('Master data'!F$2:F$40,MATCH("Matched|"&amp;(ROW()-1),'Master data'!$Q$2:$Q$40,0)),"")</f>
        <v>0</v>
      </c>
      <c r="G4" s="10" t="n">
        <f aca="false">IFERROR(INDEX('Master data'!G$2:G$40,MATCH("Matched|"&amp;(ROW()-1),'Master data'!$Q$2:$Q$40,0)),"")</f>
        <v>192.32</v>
      </c>
      <c r="H4" s="10" t="n">
        <f aca="false">IFERROR(INDEX('Master data'!H$2:H$40,MATCH("Matched|"&amp;(ROW()-1),'Master data'!$Q$2:$Q$40,0)),"")</f>
        <v>192.32</v>
      </c>
      <c r="I4" s="10" t="n">
        <f aca="false">IFERROR(INDEX('Master data'!I$2:I$40,MATCH("Matched|"&amp;(ROW()-1),'Master data'!$Q$2:$Q$40,0)),"")</f>
        <v>0</v>
      </c>
      <c r="J4" s="10" t="n">
        <f aca="false">IFERROR(INDEX('Master data'!J$2:J$40,MATCH("Matched|"&amp;(ROW()-1),'Master data'!$Q$2:$Q$40,0)),"")</f>
        <v>384.64</v>
      </c>
      <c r="K4" s="10" t="n">
        <f aca="false">IFERROR(INDEX('Master data'!K$2:K$40,MATCH("Matched|"&amp;(ROW()-1),'Master data'!$Q$2:$Q$40,0)),"")</f>
        <v>8078</v>
      </c>
      <c r="L4" s="9" t="str">
        <f aca="false">IFERROR(INDEX('Master data'!L$2:L$40,MATCH("Matched|"&amp;(ROW()-1),'Master data'!$Q$2:$Q$40,0)),"")</f>
        <v>Matched</v>
      </c>
      <c r="M4" s="9" t="str">
        <f aca="false">IFERROR(INDEX('Master data'!M$2:M$40,MATCH("Matched|"&amp;(ROW()-1),'Master data'!$Q$2:$Q$40,0)),"")</f>
        <v>Not reviewed</v>
      </c>
      <c r="N4" s="9" t="n">
        <f aca="false">IFERROR(INDEX('Master data'!N$2:N$40,MATCH("Matched|"&amp;(ROW()-1),'Master data'!$Q$2:$Q$40,0)),"")</f>
        <v>0</v>
      </c>
      <c r="O4" s="9" t="str">
        <f aca="false">IFERROR(INDEX('Master data'!O$2:O$40,MATCH("Matched|"&amp;(ROW()-1),'Master data'!$Q$2:$Q$40,0)),"")</f>
        <v>High — 98%</v>
      </c>
      <c r="P4" s="11" t="str">
        <f aca="false">IFERROR(INDEX('Master data'!P$2:P$40,MATCH("Matched|"&amp;(ROW()-1),'Master data'!$Q$2:$Q$40,0)),"")</f>
        <v>Matched on: GSTIN 07AACCR8869H1ZU, invoice '2915' (books) / 'RL/2915/26-27' (portal); taxable value, CGST, SGST, IGST and cess all agree. after invoice number variance ('2915' in books, 'RL/2915/26-27' on portal — same numeric core 2915)</v>
      </c>
    </row>
    <row r="5" customFormat="false" ht="135.8" hidden="false" customHeight="false" outlineLevel="0" collapsed="false">
      <c r="A5" s="9" t="str">
        <f aca="false">IFERROR(INDEX('Master data'!A$2:A$40,MATCH("Matched|"&amp;(ROW()-1),'Master data'!$Q$2:$Q$40,0)),"")</f>
        <v>JAGDISH AND SONS INDIA LLP</v>
      </c>
      <c r="B5" s="9" t="str">
        <f aca="false">IFERROR(INDEX('Master data'!B$2:B$40,MATCH("Matched|"&amp;(ROW()-1),'Master data'!$Q$2:$Q$40,0)),"")</f>
        <v>07AAMFJ9163F1Z1</v>
      </c>
      <c r="C5" s="9" t="str">
        <f aca="false">IFERROR(INDEX('Master data'!C$2:C$40,MATCH("Matched|"&amp;(ROW()-1),'Master data'!$Q$2:$Q$40,0)),"")</f>
        <v>3499</v>
      </c>
      <c r="D5" s="9" t="str">
        <f aca="false">IFERROR(INDEX('Master data'!D$2:D$40,MATCH("Matched|"&amp;(ROW()-1),'Master data'!$Q$2:$Q$40,0)),"")</f>
        <v>03 Aug 2026</v>
      </c>
      <c r="E5" s="10" t="n">
        <f aca="false">IFERROR(INDEX('Master data'!E$2:E$40,MATCH("Matched|"&amp;(ROW()-1),'Master data'!$Q$2:$Q$40,0)),"")</f>
        <v>30475</v>
      </c>
      <c r="F5" s="10" t="n">
        <f aca="false">IFERROR(INDEX('Master data'!F$2:F$40,MATCH("Matched|"&amp;(ROW()-1),'Master data'!$Q$2:$Q$40,0)),"")</f>
        <v>0</v>
      </c>
      <c r="G5" s="10" t="n">
        <f aca="false">IFERROR(INDEX('Master data'!G$2:G$40,MATCH("Matched|"&amp;(ROW()-1),'Master data'!$Q$2:$Q$40,0)),"")</f>
        <v>761.88</v>
      </c>
      <c r="H5" s="10" t="n">
        <f aca="false">IFERROR(INDEX('Master data'!H$2:H$40,MATCH("Matched|"&amp;(ROW()-1),'Master data'!$Q$2:$Q$40,0)),"")</f>
        <v>761.88</v>
      </c>
      <c r="I5" s="10" t="n">
        <f aca="false">IFERROR(INDEX('Master data'!I$2:I$40,MATCH("Matched|"&amp;(ROW()-1),'Master data'!$Q$2:$Q$40,0)),"")</f>
        <v>0</v>
      </c>
      <c r="J5" s="10" t="n">
        <f aca="false">IFERROR(INDEX('Master data'!J$2:J$40,MATCH("Matched|"&amp;(ROW()-1),'Master data'!$Q$2:$Q$40,0)),"")</f>
        <v>1523.76</v>
      </c>
      <c r="K5" s="10" t="n">
        <f aca="false">IFERROR(INDEX('Master data'!K$2:K$40,MATCH("Matched|"&amp;(ROW()-1),'Master data'!$Q$2:$Q$40,0)),"")</f>
        <v>31999</v>
      </c>
      <c r="L5" s="9" t="str">
        <f aca="false">IFERROR(INDEX('Master data'!L$2:L$40,MATCH("Matched|"&amp;(ROW()-1),'Master data'!$Q$2:$Q$40,0)),"")</f>
        <v>Matched</v>
      </c>
      <c r="M5" s="9" t="str">
        <f aca="false">IFERROR(INDEX('Master data'!M$2:M$40,MATCH("Matched|"&amp;(ROW()-1),'Master data'!$Q$2:$Q$40,0)),"")</f>
        <v>Not reviewed</v>
      </c>
      <c r="N5" s="9" t="n">
        <f aca="false">IFERROR(INDEX('Master data'!N$2:N$40,MATCH("Matched|"&amp;(ROW()-1),'Master data'!$Q$2:$Q$40,0)),"")</f>
        <v>0</v>
      </c>
      <c r="O5" s="9" t="str">
        <f aca="false">IFERROR(INDEX('Master data'!O$2:O$40,MATCH("Matched|"&amp;(ROW()-1),'Master data'!$Q$2:$Q$40,0)),"")</f>
        <v>High — 98%</v>
      </c>
      <c r="P5" s="11" t="str">
        <f aca="false">IFERROR(INDEX('Master data'!P$2:P$40,MATCH("Matched|"&amp;(ROW()-1),'Master data'!$Q$2:$Q$40,0)),"")</f>
        <v>Matched on: GSTIN 07AAMFJ9163F1Z1, invoice '3499' (books) / 'JSIT-03499/26-27' (portal); taxable value, CGST, SGST, IGST and cess all agree. after invoice number variance ('3499' in books, 'JSIT-03499/26-27' on portal — same numeric core 3499)</v>
      </c>
    </row>
    <row r="6" customFormat="false" ht="135.8" hidden="false" customHeight="false" outlineLevel="0" collapsed="false">
      <c r="A6" s="9" t="str">
        <f aca="false">IFERROR(INDEX('Master data'!A$2:A$40,MATCH("Matched|"&amp;(ROW()-1),'Master data'!$Q$2:$Q$40,0)),"")</f>
        <v>JAGDISH AND SONS INDIA LLP</v>
      </c>
      <c r="B6" s="9" t="str">
        <f aca="false">IFERROR(INDEX('Master data'!B$2:B$40,MATCH("Matched|"&amp;(ROW()-1),'Master data'!$Q$2:$Q$40,0)),"")</f>
        <v>07AAMFJ9163F1Z1</v>
      </c>
      <c r="C6" s="9" t="str">
        <f aca="false">IFERROR(INDEX('Master data'!C$2:C$40,MATCH("Matched|"&amp;(ROW()-1),'Master data'!$Q$2:$Q$40,0)),"")</f>
        <v>3500</v>
      </c>
      <c r="D6" s="9" t="str">
        <f aca="false">IFERROR(INDEX('Master data'!D$2:D$40,MATCH("Matched|"&amp;(ROW()-1),'Master data'!$Q$2:$Q$40,0)),"")</f>
        <v>03 Aug 2026</v>
      </c>
      <c r="E6" s="10" t="n">
        <f aca="false">IFERROR(INDEX('Master data'!E$2:E$40,MATCH("Matched|"&amp;(ROW()-1),'Master data'!$Q$2:$Q$40,0)),"")</f>
        <v>26465</v>
      </c>
      <c r="F6" s="10" t="n">
        <f aca="false">IFERROR(INDEX('Master data'!F$2:F$40,MATCH("Matched|"&amp;(ROW()-1),'Master data'!$Q$2:$Q$40,0)),"")</f>
        <v>0</v>
      </c>
      <c r="G6" s="10" t="n">
        <f aca="false">IFERROR(INDEX('Master data'!G$2:G$40,MATCH("Matched|"&amp;(ROW()-1),'Master data'!$Q$2:$Q$40,0)),"")</f>
        <v>661.63</v>
      </c>
      <c r="H6" s="10" t="n">
        <f aca="false">IFERROR(INDEX('Master data'!H$2:H$40,MATCH("Matched|"&amp;(ROW()-1),'Master data'!$Q$2:$Q$40,0)),"")</f>
        <v>661.63</v>
      </c>
      <c r="I6" s="10" t="n">
        <f aca="false">IFERROR(INDEX('Master data'!I$2:I$40,MATCH("Matched|"&amp;(ROW()-1),'Master data'!$Q$2:$Q$40,0)),"")</f>
        <v>0</v>
      </c>
      <c r="J6" s="10" t="n">
        <f aca="false">IFERROR(INDEX('Master data'!J$2:J$40,MATCH("Matched|"&amp;(ROW()-1),'Master data'!$Q$2:$Q$40,0)),"")</f>
        <v>1323.26</v>
      </c>
      <c r="K6" s="10" t="n">
        <f aca="false">IFERROR(INDEX('Master data'!K$2:K$40,MATCH("Matched|"&amp;(ROW()-1),'Master data'!$Q$2:$Q$40,0)),"")</f>
        <v>27788</v>
      </c>
      <c r="L6" s="9" t="str">
        <f aca="false">IFERROR(INDEX('Master data'!L$2:L$40,MATCH("Matched|"&amp;(ROW()-1),'Master data'!$Q$2:$Q$40,0)),"")</f>
        <v>Matched</v>
      </c>
      <c r="M6" s="9" t="str">
        <f aca="false">IFERROR(INDEX('Master data'!M$2:M$40,MATCH("Matched|"&amp;(ROW()-1),'Master data'!$Q$2:$Q$40,0)),"")</f>
        <v>Not reviewed</v>
      </c>
      <c r="N6" s="9" t="n">
        <f aca="false">IFERROR(INDEX('Master data'!N$2:N$40,MATCH("Matched|"&amp;(ROW()-1),'Master data'!$Q$2:$Q$40,0)),"")</f>
        <v>0</v>
      </c>
      <c r="O6" s="9" t="str">
        <f aca="false">IFERROR(INDEX('Master data'!O$2:O$40,MATCH("Matched|"&amp;(ROW()-1),'Master data'!$Q$2:$Q$40,0)),"")</f>
        <v>High — 98%</v>
      </c>
      <c r="P6" s="11" t="str">
        <f aca="false">IFERROR(INDEX('Master data'!P$2:P$40,MATCH("Matched|"&amp;(ROW()-1),'Master data'!$Q$2:$Q$40,0)),"")</f>
        <v>Matched on: GSTIN 07AAMFJ9163F1Z1, invoice '3500' (books) / 'JSIT-03500/26-27' (portal); taxable value, CGST, SGST, IGST and cess all agree. after invoice number variance ('3500' in books, 'JSIT-03500/26-27' on portal — same numeric core 3500)</v>
      </c>
    </row>
    <row r="7" customFormat="false" ht="76.1" hidden="false" customHeight="false" outlineLevel="0" collapsed="false">
      <c r="A7" s="9" t="str">
        <f aca="false">IFERROR(INDEX('Master data'!A$2:A$40,MATCH("Matched|"&amp;(ROW()-1),'Master data'!$Q$2:$Q$40,0)),"")</f>
        <v>SURAJ BHAN SUNIL KUMAR &amp;CO.</v>
      </c>
      <c r="B7" s="9" t="str">
        <f aca="false">IFERROR(INDEX('Master data'!B$2:B$40,MATCH("Matched|"&amp;(ROW()-1),'Master data'!$Q$2:$Q$40,0)),"")</f>
        <v>07AAXFS9006M1ZC</v>
      </c>
      <c r="C7" s="9" t="str">
        <f aca="false">IFERROR(INDEX('Master data'!C$2:C$40,MATCH("Matched|"&amp;(ROW()-1),'Master data'!$Q$2:$Q$40,0)),"")</f>
        <v>T11579</v>
      </c>
      <c r="D7" s="9" t="str">
        <f aca="false">IFERROR(INDEX('Master data'!D$2:D$40,MATCH("Matched|"&amp;(ROW()-1),'Master data'!$Q$2:$Q$40,0)),"")</f>
        <v>03 Aug 2026</v>
      </c>
      <c r="E7" s="10" t="n">
        <f aca="false">IFERROR(INDEX('Master data'!E$2:E$40,MATCH("Matched|"&amp;(ROW()-1),'Master data'!$Q$2:$Q$40,0)),"")</f>
        <v>25350</v>
      </c>
      <c r="F7" s="10" t="n">
        <f aca="false">IFERROR(INDEX('Master data'!F$2:F$40,MATCH("Matched|"&amp;(ROW()-1),'Master data'!$Q$2:$Q$40,0)),"")</f>
        <v>0</v>
      </c>
      <c r="G7" s="10" t="n">
        <f aca="false">IFERROR(INDEX('Master data'!G$2:G$40,MATCH("Matched|"&amp;(ROW()-1),'Master data'!$Q$2:$Q$40,0)),"")</f>
        <v>2281.5</v>
      </c>
      <c r="H7" s="10" t="n">
        <f aca="false">IFERROR(INDEX('Master data'!H$2:H$40,MATCH("Matched|"&amp;(ROW()-1),'Master data'!$Q$2:$Q$40,0)),"")</f>
        <v>2281.5</v>
      </c>
      <c r="I7" s="10" t="n">
        <f aca="false">IFERROR(INDEX('Master data'!I$2:I$40,MATCH("Matched|"&amp;(ROW()-1),'Master data'!$Q$2:$Q$40,0)),"")</f>
        <v>0</v>
      </c>
      <c r="J7" s="10" t="n">
        <f aca="false">IFERROR(INDEX('Master data'!J$2:J$40,MATCH("Matched|"&amp;(ROW()-1),'Master data'!$Q$2:$Q$40,0)),"")</f>
        <v>4563</v>
      </c>
      <c r="K7" s="10" t="n">
        <f aca="false">IFERROR(INDEX('Master data'!K$2:K$40,MATCH("Matched|"&amp;(ROW()-1),'Master data'!$Q$2:$Q$40,0)),"")</f>
        <v>29913</v>
      </c>
      <c r="L7" s="9" t="str">
        <f aca="false">IFERROR(INDEX('Master data'!L$2:L$40,MATCH("Matched|"&amp;(ROW()-1),'Master data'!$Q$2:$Q$40,0)),"")</f>
        <v>Matched</v>
      </c>
      <c r="M7" s="9" t="str">
        <f aca="false">IFERROR(INDEX('Master data'!M$2:M$40,MATCH("Matched|"&amp;(ROW()-1),'Master data'!$Q$2:$Q$40,0)),"")</f>
        <v>Not reviewed</v>
      </c>
      <c r="N7" s="9" t="n">
        <f aca="false">IFERROR(INDEX('Master data'!N$2:N$40,MATCH("Matched|"&amp;(ROW()-1),'Master data'!$Q$2:$Q$40,0)),"")</f>
        <v>0</v>
      </c>
      <c r="O7" s="9" t="str">
        <f aca="false">IFERROR(INDEX('Master data'!O$2:O$40,MATCH("Matched|"&amp;(ROW()-1),'Master data'!$Q$2:$Q$40,0)),"")</f>
        <v>High — 98%</v>
      </c>
      <c r="P7" s="11" t="str">
        <f aca="false">IFERROR(INDEX('Master data'!P$2:P$40,MATCH("Matched|"&amp;(ROW()-1),'Master data'!$Q$2:$Q$40,0)),"")</f>
        <v>Matched on: GSTIN 07AAXFS9006M1ZC, invoice 'T11579' (books) / 'T11579/26-27' (portal); taxable value, CGST, SGST, IGST and cess all agree.</v>
      </c>
    </row>
    <row r="8" customFormat="false" ht="76.1" hidden="false" customHeight="false" outlineLevel="0" collapsed="false">
      <c r="A8" s="9" t="str">
        <f aca="false">IFERROR(INDEX('Master data'!A$2:A$40,MATCH("Matched|"&amp;(ROW()-1),'Master data'!$Q$2:$Q$40,0)),"")</f>
        <v>SURAJ BHAN SUNIL KUMAR &amp;CO.</v>
      </c>
      <c r="B8" s="9" t="str">
        <f aca="false">IFERROR(INDEX('Master data'!B$2:B$40,MATCH("Matched|"&amp;(ROW()-1),'Master data'!$Q$2:$Q$40,0)),"")</f>
        <v>07AAXFS9006M1ZC</v>
      </c>
      <c r="C8" s="9" t="str">
        <f aca="false">IFERROR(INDEX('Master data'!C$2:C$40,MATCH("Matched|"&amp;(ROW()-1),'Master data'!$Q$2:$Q$40,0)),"")</f>
        <v>T12253</v>
      </c>
      <c r="D8" s="9" t="str">
        <f aca="false">IFERROR(INDEX('Master data'!D$2:D$40,MATCH("Matched|"&amp;(ROW()-1),'Master data'!$Q$2:$Q$40,0)),"")</f>
        <v>10 Aug 2026</v>
      </c>
      <c r="E8" s="10" t="n">
        <f aca="false">IFERROR(INDEX('Master data'!E$2:E$40,MATCH("Matched|"&amp;(ROW()-1),'Master data'!$Q$2:$Q$40,0)),"")</f>
        <v>14510</v>
      </c>
      <c r="F8" s="10" t="n">
        <f aca="false">IFERROR(INDEX('Master data'!F$2:F$40,MATCH("Matched|"&amp;(ROW()-1),'Master data'!$Q$2:$Q$40,0)),"")</f>
        <v>0</v>
      </c>
      <c r="G8" s="10" t="n">
        <f aca="false">IFERROR(INDEX('Master data'!G$2:G$40,MATCH("Matched|"&amp;(ROW()-1),'Master data'!$Q$2:$Q$40,0)),"")</f>
        <v>1305.9</v>
      </c>
      <c r="H8" s="10" t="n">
        <f aca="false">IFERROR(INDEX('Master data'!H$2:H$40,MATCH("Matched|"&amp;(ROW()-1),'Master data'!$Q$2:$Q$40,0)),"")</f>
        <v>1305.9</v>
      </c>
      <c r="I8" s="10" t="n">
        <f aca="false">IFERROR(INDEX('Master data'!I$2:I$40,MATCH("Matched|"&amp;(ROW()-1),'Master data'!$Q$2:$Q$40,0)),"")</f>
        <v>0</v>
      </c>
      <c r="J8" s="10" t="n">
        <f aca="false">IFERROR(INDEX('Master data'!J$2:J$40,MATCH("Matched|"&amp;(ROW()-1),'Master data'!$Q$2:$Q$40,0)),"")</f>
        <v>2611.8</v>
      </c>
      <c r="K8" s="10" t="n">
        <f aca="false">IFERROR(INDEX('Master data'!K$2:K$40,MATCH("Matched|"&amp;(ROW()-1),'Master data'!$Q$2:$Q$40,0)),"")</f>
        <v>17122</v>
      </c>
      <c r="L8" s="9" t="str">
        <f aca="false">IFERROR(INDEX('Master data'!L$2:L$40,MATCH("Matched|"&amp;(ROW()-1),'Master data'!$Q$2:$Q$40,0)),"")</f>
        <v>Matched</v>
      </c>
      <c r="M8" s="9" t="str">
        <f aca="false">IFERROR(INDEX('Master data'!M$2:M$40,MATCH("Matched|"&amp;(ROW()-1),'Master data'!$Q$2:$Q$40,0)),"")</f>
        <v>Not reviewed</v>
      </c>
      <c r="N8" s="9" t="n">
        <f aca="false">IFERROR(INDEX('Master data'!N$2:N$40,MATCH("Matched|"&amp;(ROW()-1),'Master data'!$Q$2:$Q$40,0)),"")</f>
        <v>0</v>
      </c>
      <c r="O8" s="9" t="str">
        <f aca="false">IFERROR(INDEX('Master data'!O$2:O$40,MATCH("Matched|"&amp;(ROW()-1),'Master data'!$Q$2:$Q$40,0)),"")</f>
        <v>High — 98%</v>
      </c>
      <c r="P8" s="11" t="str">
        <f aca="false">IFERROR(INDEX('Master data'!P$2:P$40,MATCH("Matched|"&amp;(ROW()-1),'Master data'!$Q$2:$Q$40,0)),"")</f>
        <v>Matched on: GSTIN 07AAXFS9006M1ZC, invoice 'T12253' (books) / 'T12253/26-27' (portal); taxable value, CGST, SGST, IGST and cess all agree.</v>
      </c>
    </row>
    <row r="9" customFormat="false" ht="76.1" hidden="false" customHeight="false" outlineLevel="0" collapsed="false">
      <c r="A9" s="9" t="str">
        <f aca="false">IFERROR(INDEX('Master data'!A$2:A$40,MATCH("Matched|"&amp;(ROW()-1),'Master data'!$Q$2:$Q$40,0)),"")</f>
        <v>SURAJ BHAN SUNIL KUMAR &amp;CO.</v>
      </c>
      <c r="B9" s="9" t="str">
        <f aca="false">IFERROR(INDEX('Master data'!B$2:B$40,MATCH("Matched|"&amp;(ROW()-1),'Master data'!$Q$2:$Q$40,0)),"")</f>
        <v>07AAXFS9006M1ZC</v>
      </c>
      <c r="C9" s="9" t="str">
        <f aca="false">IFERROR(INDEX('Master data'!C$2:C$40,MATCH("Matched|"&amp;(ROW()-1),'Master data'!$Q$2:$Q$40,0)),"")</f>
        <v>T12408</v>
      </c>
      <c r="D9" s="9" t="str">
        <f aca="false">IFERROR(INDEX('Master data'!D$2:D$40,MATCH("Matched|"&amp;(ROW()-1),'Master data'!$Q$2:$Q$40,0)),"")</f>
        <v>11 Aug 2026</v>
      </c>
      <c r="E9" s="10" t="n">
        <f aca="false">IFERROR(INDEX('Master data'!E$2:E$40,MATCH("Matched|"&amp;(ROW()-1),'Master data'!$Q$2:$Q$40,0)),"")</f>
        <v>44590</v>
      </c>
      <c r="F9" s="10" t="n">
        <f aca="false">IFERROR(INDEX('Master data'!F$2:F$40,MATCH("Matched|"&amp;(ROW()-1),'Master data'!$Q$2:$Q$40,0)),"")</f>
        <v>0</v>
      </c>
      <c r="G9" s="10" t="n">
        <f aca="false">IFERROR(INDEX('Master data'!G$2:G$40,MATCH("Matched|"&amp;(ROW()-1),'Master data'!$Q$2:$Q$40,0)),"")</f>
        <v>4013.1</v>
      </c>
      <c r="H9" s="10" t="n">
        <f aca="false">IFERROR(INDEX('Master data'!H$2:H$40,MATCH("Matched|"&amp;(ROW()-1),'Master data'!$Q$2:$Q$40,0)),"")</f>
        <v>4013.1</v>
      </c>
      <c r="I9" s="10" t="n">
        <f aca="false">IFERROR(INDEX('Master data'!I$2:I$40,MATCH("Matched|"&amp;(ROW()-1),'Master data'!$Q$2:$Q$40,0)),"")</f>
        <v>0</v>
      </c>
      <c r="J9" s="10" t="n">
        <f aca="false">IFERROR(INDEX('Master data'!J$2:J$40,MATCH("Matched|"&amp;(ROW()-1),'Master data'!$Q$2:$Q$40,0)),"")</f>
        <v>8026.2</v>
      </c>
      <c r="K9" s="10" t="n">
        <f aca="false">IFERROR(INDEX('Master data'!K$2:K$40,MATCH("Matched|"&amp;(ROW()-1),'Master data'!$Q$2:$Q$40,0)),"")</f>
        <v>52616</v>
      </c>
      <c r="L9" s="9" t="str">
        <f aca="false">IFERROR(INDEX('Master data'!L$2:L$40,MATCH("Matched|"&amp;(ROW()-1),'Master data'!$Q$2:$Q$40,0)),"")</f>
        <v>Matched</v>
      </c>
      <c r="M9" s="9" t="str">
        <f aca="false">IFERROR(INDEX('Master data'!M$2:M$40,MATCH("Matched|"&amp;(ROW()-1),'Master data'!$Q$2:$Q$40,0)),"")</f>
        <v>Not reviewed</v>
      </c>
      <c r="N9" s="9" t="n">
        <f aca="false">IFERROR(INDEX('Master data'!N$2:N$40,MATCH("Matched|"&amp;(ROW()-1),'Master data'!$Q$2:$Q$40,0)),"")</f>
        <v>0</v>
      </c>
      <c r="O9" s="9" t="str">
        <f aca="false">IFERROR(INDEX('Master data'!O$2:O$40,MATCH("Matched|"&amp;(ROW()-1),'Master data'!$Q$2:$Q$40,0)),"")</f>
        <v>High — 98%</v>
      </c>
      <c r="P9" s="11" t="str">
        <f aca="false">IFERROR(INDEX('Master data'!P$2:P$40,MATCH("Matched|"&amp;(ROW()-1),'Master data'!$Q$2:$Q$40,0)),"")</f>
        <v>Matched on: GSTIN 07AAXFS9006M1ZC, invoice 'T12408' (books) / 'T12408/26-27' (portal); taxable value, CGST, SGST, IGST and cess all agree.</v>
      </c>
    </row>
    <row r="10" customFormat="false" ht="76.1" hidden="false" customHeight="false" outlineLevel="0" collapsed="false">
      <c r="A10" s="9" t="str">
        <f aca="false">IFERROR(INDEX('Master data'!A$2:A$40,MATCH("Matched|"&amp;(ROW()-1),'Master data'!$Q$2:$Q$40,0)),"")</f>
        <v>SURAJ BHAN SUNIL KUMAR &amp;CO.</v>
      </c>
      <c r="B10" s="9" t="str">
        <f aca="false">IFERROR(INDEX('Master data'!B$2:B$40,MATCH("Matched|"&amp;(ROW()-1),'Master data'!$Q$2:$Q$40,0)),"")</f>
        <v>07AAXFS9006M1ZC</v>
      </c>
      <c r="C10" s="9" t="str">
        <f aca="false">IFERROR(INDEX('Master data'!C$2:C$40,MATCH("Matched|"&amp;(ROW()-1),'Master data'!$Q$2:$Q$40,0)),"")</f>
        <v>T12732</v>
      </c>
      <c r="D10" s="9" t="str">
        <f aca="false">IFERROR(INDEX('Master data'!D$2:D$40,MATCH("Matched|"&amp;(ROW()-1),'Master data'!$Q$2:$Q$40,0)),"")</f>
        <v>13 Aug 2026</v>
      </c>
      <c r="E10" s="10" t="n">
        <f aca="false">IFERROR(INDEX('Master data'!E$2:E$40,MATCH("Matched|"&amp;(ROW()-1),'Master data'!$Q$2:$Q$40,0)),"")</f>
        <v>6850</v>
      </c>
      <c r="F10" s="10" t="n">
        <f aca="false">IFERROR(INDEX('Master data'!F$2:F$40,MATCH("Matched|"&amp;(ROW()-1),'Master data'!$Q$2:$Q$40,0)),"")</f>
        <v>0</v>
      </c>
      <c r="G10" s="10" t="n">
        <f aca="false">IFERROR(INDEX('Master data'!G$2:G$40,MATCH("Matched|"&amp;(ROW()-1),'Master data'!$Q$2:$Q$40,0)),"")</f>
        <v>616.5</v>
      </c>
      <c r="H10" s="10" t="n">
        <f aca="false">IFERROR(INDEX('Master data'!H$2:H$40,MATCH("Matched|"&amp;(ROW()-1),'Master data'!$Q$2:$Q$40,0)),"")</f>
        <v>616.5</v>
      </c>
      <c r="I10" s="10" t="n">
        <f aca="false">IFERROR(INDEX('Master data'!I$2:I$40,MATCH("Matched|"&amp;(ROW()-1),'Master data'!$Q$2:$Q$40,0)),"")</f>
        <v>0</v>
      </c>
      <c r="J10" s="10" t="n">
        <f aca="false">IFERROR(INDEX('Master data'!J$2:J$40,MATCH("Matched|"&amp;(ROW()-1),'Master data'!$Q$2:$Q$40,0)),"")</f>
        <v>1233</v>
      </c>
      <c r="K10" s="10" t="n">
        <f aca="false">IFERROR(INDEX('Master data'!K$2:K$40,MATCH("Matched|"&amp;(ROW()-1),'Master data'!$Q$2:$Q$40,0)),"")</f>
        <v>8083</v>
      </c>
      <c r="L10" s="9" t="str">
        <f aca="false">IFERROR(INDEX('Master data'!L$2:L$40,MATCH("Matched|"&amp;(ROW()-1),'Master data'!$Q$2:$Q$40,0)),"")</f>
        <v>Matched</v>
      </c>
      <c r="M10" s="9" t="str">
        <f aca="false">IFERROR(INDEX('Master data'!M$2:M$40,MATCH("Matched|"&amp;(ROW()-1),'Master data'!$Q$2:$Q$40,0)),"")</f>
        <v>Not reviewed</v>
      </c>
      <c r="N10" s="9" t="n">
        <f aca="false">IFERROR(INDEX('Master data'!N$2:N$40,MATCH("Matched|"&amp;(ROW()-1),'Master data'!$Q$2:$Q$40,0)),"")</f>
        <v>0</v>
      </c>
      <c r="O10" s="9" t="str">
        <f aca="false">IFERROR(INDEX('Master data'!O$2:O$40,MATCH("Matched|"&amp;(ROW()-1),'Master data'!$Q$2:$Q$40,0)),"")</f>
        <v>High — 98%</v>
      </c>
      <c r="P10" s="11" t="str">
        <f aca="false">IFERROR(INDEX('Master data'!P$2:P$40,MATCH("Matched|"&amp;(ROW()-1),'Master data'!$Q$2:$Q$40,0)),"")</f>
        <v>Matched on: GSTIN 07AAXFS9006M1ZC, invoice 'T12732' (books) / 'T12732/26-27' (portal); taxable value, CGST, SGST, IGST and cess all agree.</v>
      </c>
    </row>
    <row r="11" customFormat="false" ht="76.1" hidden="false" customHeight="false" outlineLevel="0" collapsed="false">
      <c r="A11" s="9" t="str">
        <f aca="false">IFERROR(INDEX('Master data'!A$2:A$40,MATCH("Matched|"&amp;(ROW()-1),'Master data'!$Q$2:$Q$40,0)),"")</f>
        <v>SURAJ BHAN SUNIL KUMAR &amp;CO.</v>
      </c>
      <c r="B11" s="9" t="str">
        <f aca="false">IFERROR(INDEX('Master data'!B$2:B$40,MATCH("Matched|"&amp;(ROW()-1),'Master data'!$Q$2:$Q$40,0)),"")</f>
        <v>07AAXFS9006M1ZC</v>
      </c>
      <c r="C11" s="9" t="str">
        <f aca="false">IFERROR(INDEX('Master data'!C$2:C$40,MATCH("Matched|"&amp;(ROW()-1),'Master data'!$Q$2:$Q$40,0)),"")</f>
        <v>T13053</v>
      </c>
      <c r="D11" s="9" t="str">
        <f aca="false">IFERROR(INDEX('Master data'!D$2:D$40,MATCH("Matched|"&amp;(ROW()-1),'Master data'!$Q$2:$Q$40,0)),"")</f>
        <v>17 Aug 2026</v>
      </c>
      <c r="E11" s="10" t="n">
        <f aca="false">IFERROR(INDEX('Master data'!E$2:E$40,MATCH("Matched|"&amp;(ROW()-1),'Master data'!$Q$2:$Q$40,0)),"")</f>
        <v>14945</v>
      </c>
      <c r="F11" s="10" t="n">
        <f aca="false">IFERROR(INDEX('Master data'!F$2:F$40,MATCH("Matched|"&amp;(ROW()-1),'Master data'!$Q$2:$Q$40,0)),"")</f>
        <v>0</v>
      </c>
      <c r="G11" s="10" t="n">
        <f aca="false">IFERROR(INDEX('Master data'!G$2:G$40,MATCH("Matched|"&amp;(ROW()-1),'Master data'!$Q$2:$Q$40,0)),"")</f>
        <v>1345.05</v>
      </c>
      <c r="H11" s="10" t="n">
        <f aca="false">IFERROR(INDEX('Master data'!H$2:H$40,MATCH("Matched|"&amp;(ROW()-1),'Master data'!$Q$2:$Q$40,0)),"")</f>
        <v>1345.05</v>
      </c>
      <c r="I11" s="10" t="n">
        <f aca="false">IFERROR(INDEX('Master data'!I$2:I$40,MATCH("Matched|"&amp;(ROW()-1),'Master data'!$Q$2:$Q$40,0)),"")</f>
        <v>0</v>
      </c>
      <c r="J11" s="10" t="n">
        <f aca="false">IFERROR(INDEX('Master data'!J$2:J$40,MATCH("Matched|"&amp;(ROW()-1),'Master data'!$Q$2:$Q$40,0)),"")</f>
        <v>2690.1</v>
      </c>
      <c r="K11" s="10" t="n">
        <f aca="false">IFERROR(INDEX('Master data'!K$2:K$40,MATCH("Matched|"&amp;(ROW()-1),'Master data'!$Q$2:$Q$40,0)),"")</f>
        <v>17635</v>
      </c>
      <c r="L11" s="9" t="str">
        <f aca="false">IFERROR(INDEX('Master data'!L$2:L$40,MATCH("Matched|"&amp;(ROW()-1),'Master data'!$Q$2:$Q$40,0)),"")</f>
        <v>Matched</v>
      </c>
      <c r="M11" s="9" t="str">
        <f aca="false">IFERROR(INDEX('Master data'!M$2:M$40,MATCH("Matched|"&amp;(ROW()-1),'Master data'!$Q$2:$Q$40,0)),"")</f>
        <v>Not reviewed</v>
      </c>
      <c r="N11" s="9" t="n">
        <f aca="false">IFERROR(INDEX('Master data'!N$2:N$40,MATCH("Matched|"&amp;(ROW()-1),'Master data'!$Q$2:$Q$40,0)),"")</f>
        <v>0</v>
      </c>
      <c r="O11" s="9" t="str">
        <f aca="false">IFERROR(INDEX('Master data'!O$2:O$40,MATCH("Matched|"&amp;(ROW()-1),'Master data'!$Q$2:$Q$40,0)),"")</f>
        <v>High — 98%</v>
      </c>
      <c r="P11" s="11" t="str">
        <f aca="false">IFERROR(INDEX('Master data'!P$2:P$40,MATCH("Matched|"&amp;(ROW()-1),'Master data'!$Q$2:$Q$40,0)),"")</f>
        <v>Matched on: GSTIN 07AAXFS9006M1ZC, invoice 'T13053' (books) / 'T13053/26-27' (portal); taxable value, CGST, SGST, IGST and cess all agree.</v>
      </c>
    </row>
    <row r="12" customFormat="false" ht="76.1" hidden="false" customHeight="false" outlineLevel="0" collapsed="false">
      <c r="A12" s="9" t="str">
        <f aca="false">IFERROR(INDEX('Master data'!A$2:A$40,MATCH("Matched|"&amp;(ROW()-1),'Master data'!$Q$2:$Q$40,0)),"")</f>
        <v>SURAJ BHAN SUNIL KUMAR &amp;CO.</v>
      </c>
      <c r="B12" s="9" t="str">
        <f aca="false">IFERROR(INDEX('Master data'!B$2:B$40,MATCH("Matched|"&amp;(ROW()-1),'Master data'!$Q$2:$Q$40,0)),"")</f>
        <v>07AAXFS9006M1ZC</v>
      </c>
      <c r="C12" s="9" t="str">
        <f aca="false">IFERROR(INDEX('Master data'!C$2:C$40,MATCH("Matched|"&amp;(ROW()-1),'Master data'!$Q$2:$Q$40,0)),"")</f>
        <v>T13093</v>
      </c>
      <c r="D12" s="9" t="str">
        <f aca="false">IFERROR(INDEX('Master data'!D$2:D$40,MATCH("Matched|"&amp;(ROW()-1),'Master data'!$Q$2:$Q$40,0)),"")</f>
        <v>17 Aug 2026</v>
      </c>
      <c r="E12" s="10" t="n">
        <f aca="false">IFERROR(INDEX('Master data'!E$2:E$40,MATCH("Matched|"&amp;(ROW()-1),'Master data'!$Q$2:$Q$40,0)),"")</f>
        <v>29545</v>
      </c>
      <c r="F12" s="10" t="n">
        <f aca="false">IFERROR(INDEX('Master data'!F$2:F$40,MATCH("Matched|"&amp;(ROW()-1),'Master data'!$Q$2:$Q$40,0)),"")</f>
        <v>0</v>
      </c>
      <c r="G12" s="10" t="n">
        <f aca="false">IFERROR(INDEX('Master data'!G$2:G$40,MATCH("Matched|"&amp;(ROW()-1),'Master data'!$Q$2:$Q$40,0)),"")</f>
        <v>738.65</v>
      </c>
      <c r="H12" s="10" t="n">
        <f aca="false">IFERROR(INDEX('Master data'!H$2:H$40,MATCH("Matched|"&amp;(ROW()-1),'Master data'!$Q$2:$Q$40,0)),"")</f>
        <v>738.65</v>
      </c>
      <c r="I12" s="10" t="n">
        <f aca="false">IFERROR(INDEX('Master data'!I$2:I$40,MATCH("Matched|"&amp;(ROW()-1),'Master data'!$Q$2:$Q$40,0)),"")</f>
        <v>0</v>
      </c>
      <c r="J12" s="10" t="n">
        <f aca="false">IFERROR(INDEX('Master data'!J$2:J$40,MATCH("Matched|"&amp;(ROW()-1),'Master data'!$Q$2:$Q$40,0)),"")</f>
        <v>1477.3</v>
      </c>
      <c r="K12" s="10" t="n">
        <f aca="false">IFERROR(INDEX('Master data'!K$2:K$40,MATCH("Matched|"&amp;(ROW()-1),'Master data'!$Q$2:$Q$40,0)),"")</f>
        <v>31022</v>
      </c>
      <c r="L12" s="9" t="str">
        <f aca="false">IFERROR(INDEX('Master data'!L$2:L$40,MATCH("Matched|"&amp;(ROW()-1),'Master data'!$Q$2:$Q$40,0)),"")</f>
        <v>Matched</v>
      </c>
      <c r="M12" s="9" t="str">
        <f aca="false">IFERROR(INDEX('Master data'!M$2:M$40,MATCH("Matched|"&amp;(ROW()-1),'Master data'!$Q$2:$Q$40,0)),"")</f>
        <v>Not reviewed</v>
      </c>
      <c r="N12" s="9" t="n">
        <f aca="false">IFERROR(INDEX('Master data'!N$2:N$40,MATCH("Matched|"&amp;(ROW()-1),'Master data'!$Q$2:$Q$40,0)),"")</f>
        <v>0</v>
      </c>
      <c r="O12" s="9" t="str">
        <f aca="false">IFERROR(INDEX('Master data'!O$2:O$40,MATCH("Matched|"&amp;(ROW()-1),'Master data'!$Q$2:$Q$40,0)),"")</f>
        <v>High — 98%</v>
      </c>
      <c r="P12" s="11" t="str">
        <f aca="false">IFERROR(INDEX('Master data'!P$2:P$40,MATCH("Matched|"&amp;(ROW()-1),'Master data'!$Q$2:$Q$40,0)),"")</f>
        <v>Matched on: GSTIN 07AAXFS9006M1ZC, invoice 'T13093' (books) / 'T13093/26-27' (portal); taxable value, CGST, SGST, IGST and cess all agree.</v>
      </c>
    </row>
    <row r="13" customFormat="false" ht="76.1" hidden="false" customHeight="false" outlineLevel="0" collapsed="false">
      <c r="A13" s="9" t="str">
        <f aca="false">IFERROR(INDEX('Master data'!A$2:A$40,MATCH("Matched|"&amp;(ROW()-1),'Master data'!$Q$2:$Q$40,0)),"")</f>
        <v>SURAJ BHAN SUNIL KUMAR &amp;CO.</v>
      </c>
      <c r="B13" s="9" t="str">
        <f aca="false">IFERROR(INDEX('Master data'!B$2:B$40,MATCH("Matched|"&amp;(ROW()-1),'Master data'!$Q$2:$Q$40,0)),"")</f>
        <v>07AAXFS9006M1ZC</v>
      </c>
      <c r="C13" s="9" t="str">
        <f aca="false">IFERROR(INDEX('Master data'!C$2:C$40,MATCH("Matched|"&amp;(ROW()-1),'Master data'!$Q$2:$Q$40,0)),"")</f>
        <v>T13131</v>
      </c>
      <c r="D13" s="9" t="str">
        <f aca="false">IFERROR(INDEX('Master data'!D$2:D$40,MATCH("Matched|"&amp;(ROW()-1),'Master data'!$Q$2:$Q$40,0)),"")</f>
        <v>17 Aug 2026</v>
      </c>
      <c r="E13" s="10" t="n">
        <f aca="false">IFERROR(INDEX('Master data'!E$2:E$40,MATCH("Matched|"&amp;(ROW()-1),'Master data'!$Q$2:$Q$40,0)),"")</f>
        <v>26965</v>
      </c>
      <c r="F13" s="10" t="n">
        <f aca="false">IFERROR(INDEX('Master data'!F$2:F$40,MATCH("Matched|"&amp;(ROW()-1),'Master data'!$Q$2:$Q$40,0)),"")</f>
        <v>0</v>
      </c>
      <c r="G13" s="10" t="n">
        <f aca="false">IFERROR(INDEX('Master data'!G$2:G$40,MATCH("Matched|"&amp;(ROW()-1),'Master data'!$Q$2:$Q$40,0)),"")</f>
        <v>2426.85</v>
      </c>
      <c r="H13" s="10" t="n">
        <f aca="false">IFERROR(INDEX('Master data'!H$2:H$40,MATCH("Matched|"&amp;(ROW()-1),'Master data'!$Q$2:$Q$40,0)),"")</f>
        <v>2426.85</v>
      </c>
      <c r="I13" s="10" t="n">
        <f aca="false">IFERROR(INDEX('Master data'!I$2:I$40,MATCH("Matched|"&amp;(ROW()-1),'Master data'!$Q$2:$Q$40,0)),"")</f>
        <v>0</v>
      </c>
      <c r="J13" s="10" t="n">
        <f aca="false">IFERROR(INDEX('Master data'!J$2:J$40,MATCH("Matched|"&amp;(ROW()-1),'Master data'!$Q$2:$Q$40,0)),"")</f>
        <v>4853.7</v>
      </c>
      <c r="K13" s="10" t="n">
        <f aca="false">IFERROR(INDEX('Master data'!K$2:K$40,MATCH("Matched|"&amp;(ROW()-1),'Master data'!$Q$2:$Q$40,0)),"")</f>
        <v>31819</v>
      </c>
      <c r="L13" s="9" t="str">
        <f aca="false">IFERROR(INDEX('Master data'!L$2:L$40,MATCH("Matched|"&amp;(ROW()-1),'Master data'!$Q$2:$Q$40,0)),"")</f>
        <v>Matched</v>
      </c>
      <c r="M13" s="9" t="str">
        <f aca="false">IFERROR(INDEX('Master data'!M$2:M$40,MATCH("Matched|"&amp;(ROW()-1),'Master data'!$Q$2:$Q$40,0)),"")</f>
        <v>Not reviewed</v>
      </c>
      <c r="N13" s="9" t="n">
        <f aca="false">IFERROR(INDEX('Master data'!N$2:N$40,MATCH("Matched|"&amp;(ROW()-1),'Master data'!$Q$2:$Q$40,0)),"")</f>
        <v>0</v>
      </c>
      <c r="O13" s="9" t="str">
        <f aca="false">IFERROR(INDEX('Master data'!O$2:O$40,MATCH("Matched|"&amp;(ROW()-1),'Master data'!$Q$2:$Q$40,0)),"")</f>
        <v>High — 98%</v>
      </c>
      <c r="P13" s="11" t="str">
        <f aca="false">IFERROR(INDEX('Master data'!P$2:P$40,MATCH("Matched|"&amp;(ROW()-1),'Master data'!$Q$2:$Q$40,0)),"")</f>
        <v>Matched on: GSTIN 07AAXFS9006M1ZC, invoice 'T13131' (books) / 'T13131/26-27' (portal); taxable value, CGST, SGST, IGST and cess all agree.</v>
      </c>
    </row>
    <row r="14" customFormat="false" ht="76.1" hidden="false" customHeight="false" outlineLevel="0" collapsed="false">
      <c r="A14" s="9" t="str">
        <f aca="false">IFERROR(INDEX('Master data'!A$2:A$40,MATCH("Matched|"&amp;(ROW()-1),'Master data'!$Q$2:$Q$40,0)),"")</f>
        <v>SURAJ BHAN SUNIL KUMAR &amp;CO.</v>
      </c>
      <c r="B14" s="9" t="str">
        <f aca="false">IFERROR(INDEX('Master data'!B$2:B$40,MATCH("Matched|"&amp;(ROW()-1),'Master data'!$Q$2:$Q$40,0)),"")</f>
        <v>07AAXFS9006M1ZC</v>
      </c>
      <c r="C14" s="9" t="str">
        <f aca="false">IFERROR(INDEX('Master data'!C$2:C$40,MATCH("Matched|"&amp;(ROW()-1),'Master data'!$Q$2:$Q$40,0)),"")</f>
        <v>T13502</v>
      </c>
      <c r="D14" s="9" t="str">
        <f aca="false">IFERROR(INDEX('Master data'!D$2:D$40,MATCH("Matched|"&amp;(ROW()-1),'Master data'!$Q$2:$Q$40,0)),"")</f>
        <v>19 Aug 2026</v>
      </c>
      <c r="E14" s="10" t="n">
        <f aca="false">IFERROR(INDEX('Master data'!E$2:E$40,MATCH("Matched|"&amp;(ROW()-1),'Master data'!$Q$2:$Q$40,0)),"")</f>
        <v>13990</v>
      </c>
      <c r="F14" s="10" t="n">
        <f aca="false">IFERROR(INDEX('Master data'!F$2:F$40,MATCH("Matched|"&amp;(ROW()-1),'Master data'!$Q$2:$Q$40,0)),"")</f>
        <v>0</v>
      </c>
      <c r="G14" s="10" t="n">
        <f aca="false">IFERROR(INDEX('Master data'!G$2:G$40,MATCH("Matched|"&amp;(ROW()-1),'Master data'!$Q$2:$Q$40,0)),"")</f>
        <v>1259.1</v>
      </c>
      <c r="H14" s="10" t="n">
        <f aca="false">IFERROR(INDEX('Master data'!H$2:H$40,MATCH("Matched|"&amp;(ROW()-1),'Master data'!$Q$2:$Q$40,0)),"")</f>
        <v>1259.1</v>
      </c>
      <c r="I14" s="10" t="n">
        <f aca="false">IFERROR(INDEX('Master data'!I$2:I$40,MATCH("Matched|"&amp;(ROW()-1),'Master data'!$Q$2:$Q$40,0)),"")</f>
        <v>0</v>
      </c>
      <c r="J14" s="10" t="n">
        <f aca="false">IFERROR(INDEX('Master data'!J$2:J$40,MATCH("Matched|"&amp;(ROW()-1),'Master data'!$Q$2:$Q$40,0)),"")</f>
        <v>2518.2</v>
      </c>
      <c r="K14" s="10" t="n">
        <f aca="false">IFERROR(INDEX('Master data'!K$2:K$40,MATCH("Matched|"&amp;(ROW()-1),'Master data'!$Q$2:$Q$40,0)),"")</f>
        <v>16508</v>
      </c>
      <c r="L14" s="9" t="str">
        <f aca="false">IFERROR(INDEX('Master data'!L$2:L$40,MATCH("Matched|"&amp;(ROW()-1),'Master data'!$Q$2:$Q$40,0)),"")</f>
        <v>Matched</v>
      </c>
      <c r="M14" s="9" t="str">
        <f aca="false">IFERROR(INDEX('Master data'!M$2:M$40,MATCH("Matched|"&amp;(ROW()-1),'Master data'!$Q$2:$Q$40,0)),"")</f>
        <v>Not reviewed</v>
      </c>
      <c r="N14" s="9" t="n">
        <f aca="false">IFERROR(INDEX('Master data'!N$2:N$40,MATCH("Matched|"&amp;(ROW()-1),'Master data'!$Q$2:$Q$40,0)),"")</f>
        <v>0</v>
      </c>
      <c r="O14" s="9" t="str">
        <f aca="false">IFERROR(INDEX('Master data'!O$2:O$40,MATCH("Matched|"&amp;(ROW()-1),'Master data'!$Q$2:$Q$40,0)),"")</f>
        <v>High — 98%</v>
      </c>
      <c r="P14" s="11" t="str">
        <f aca="false">IFERROR(INDEX('Master data'!P$2:P$40,MATCH("Matched|"&amp;(ROW()-1),'Master data'!$Q$2:$Q$40,0)),"")</f>
        <v>Matched on: GSTIN 07AAXFS9006M1ZC, invoice 'T13502' (books) / 'T13502/26-27' (portal); taxable value, CGST, SGST, IGST and cess all agree.</v>
      </c>
    </row>
    <row r="15" customFormat="false" ht="120.85" hidden="false" customHeight="false" outlineLevel="0" collapsed="false">
      <c r="A15" s="9" t="str">
        <f aca="false">IFERROR(INDEX('Master data'!A$2:A$40,MATCH("Matched|"&amp;(ROW()-1),'Master data'!$Q$2:$Q$40,0)),"")</f>
        <v>MONA FASHION</v>
      </c>
      <c r="B15" s="9" t="str">
        <f aca="false">IFERROR(INDEX('Master data'!B$2:B$40,MATCH("Matched|"&amp;(ROW()-1),'Master data'!$Q$2:$Q$40,0)),"")</f>
        <v>07APLPT8045C1ZN</v>
      </c>
      <c r="C15" s="9" t="str">
        <f aca="false">IFERROR(INDEX('Master data'!C$2:C$40,MATCH("Matched|"&amp;(ROW()-1),'Master data'!$Q$2:$Q$40,0)),"")</f>
        <v>1913</v>
      </c>
      <c r="D15" s="9" t="str">
        <f aca="false">IFERROR(INDEX('Master data'!D$2:D$40,MATCH("Matched|"&amp;(ROW()-1),'Master data'!$Q$2:$Q$40,0)),"")</f>
        <v>21 Aug 2026</v>
      </c>
      <c r="E15" s="10" t="n">
        <f aca="false">IFERROR(INDEX('Master data'!E$2:E$40,MATCH("Matched|"&amp;(ROW()-1),'Master data'!$Q$2:$Q$40,0)),"")</f>
        <v>25431</v>
      </c>
      <c r="F15" s="10" t="n">
        <f aca="false">IFERROR(INDEX('Master data'!F$2:F$40,MATCH("Matched|"&amp;(ROW()-1),'Master data'!$Q$2:$Q$40,0)),"")</f>
        <v>0</v>
      </c>
      <c r="G15" s="10" t="n">
        <f aca="false">IFERROR(INDEX('Master data'!G$2:G$40,MATCH("Matched|"&amp;(ROW()-1),'Master data'!$Q$2:$Q$40,0)),"")</f>
        <v>635.78</v>
      </c>
      <c r="H15" s="10" t="n">
        <f aca="false">IFERROR(INDEX('Master data'!H$2:H$40,MATCH("Matched|"&amp;(ROW()-1),'Master data'!$Q$2:$Q$40,0)),"")</f>
        <v>635.78</v>
      </c>
      <c r="I15" s="10" t="n">
        <f aca="false">IFERROR(INDEX('Master data'!I$2:I$40,MATCH("Matched|"&amp;(ROW()-1),'Master data'!$Q$2:$Q$40,0)),"")</f>
        <v>0</v>
      </c>
      <c r="J15" s="10" t="n">
        <f aca="false">IFERROR(INDEX('Master data'!J$2:J$40,MATCH("Matched|"&amp;(ROW()-1),'Master data'!$Q$2:$Q$40,0)),"")</f>
        <v>1271.56</v>
      </c>
      <c r="K15" s="10" t="n">
        <f aca="false">IFERROR(INDEX('Master data'!K$2:K$40,MATCH("Matched|"&amp;(ROW()-1),'Master data'!$Q$2:$Q$40,0)),"")</f>
        <v>26703</v>
      </c>
      <c r="L15" s="9" t="str">
        <f aca="false">IFERROR(INDEX('Master data'!L$2:L$40,MATCH("Matched|"&amp;(ROW()-1),'Master data'!$Q$2:$Q$40,0)),"")</f>
        <v>Matched</v>
      </c>
      <c r="M15" s="9" t="str">
        <f aca="false">IFERROR(INDEX('Master data'!M$2:M$40,MATCH("Matched|"&amp;(ROW()-1),'Master data'!$Q$2:$Q$40,0)),"")</f>
        <v>Not reviewed</v>
      </c>
      <c r="N15" s="9" t="n">
        <f aca="false">IFERROR(INDEX('Master data'!N$2:N$40,MATCH("Matched|"&amp;(ROW()-1),'Master data'!$Q$2:$Q$40,0)),"")</f>
        <v>0</v>
      </c>
      <c r="O15" s="9" t="str">
        <f aca="false">IFERROR(INDEX('Master data'!O$2:O$40,MATCH("Matched|"&amp;(ROW()-1),'Master data'!$Q$2:$Q$40,0)),"")</f>
        <v>High — 98%</v>
      </c>
      <c r="P15" s="11" t="str">
        <f aca="false">IFERROR(INDEX('Master data'!P$2:P$40,MATCH("Matched|"&amp;(ROW()-1),'Master data'!$Q$2:$Q$40,0)),"")</f>
        <v>Matched on: GSTIN 07APLPT8045C1ZN, invoice '1913' (books) / 'MF/26-27/1913' (portal); taxable value, CGST, SGST, IGST and cess all agree. after invoice number variance ('1913' in books, 'MF/26-27/1913' on portal — same numeric core 1913)</v>
      </c>
    </row>
    <row r="16" customFormat="false" ht="135.8" hidden="false" customHeight="false" outlineLevel="0" collapsed="false">
      <c r="A16" s="9" t="str">
        <f aca="false">IFERROR(INDEX('Master data'!A$2:A$40,MATCH("Matched|"&amp;(ROW()-1),'Master data'!$Q$2:$Q$40,0)),"")</f>
        <v>POOJA DESIGNERS PVT. LTD.</v>
      </c>
      <c r="B16" s="9" t="str">
        <f aca="false">IFERROR(INDEX('Master data'!B$2:B$40,MATCH("Matched|"&amp;(ROW()-1),'Master data'!$Q$2:$Q$40,0)),"")</f>
        <v>07AAGCP9332D1ZG</v>
      </c>
      <c r="C16" s="9" t="str">
        <f aca="false">IFERROR(INDEX('Master data'!C$2:C$40,MATCH("Matched|"&amp;(ROW()-1),'Master data'!$Q$2:$Q$40,0)),"")</f>
        <v>3386</v>
      </c>
      <c r="D16" s="9" t="str">
        <f aca="false">IFERROR(INDEX('Master data'!D$2:D$40,MATCH("Matched|"&amp;(ROW()-1),'Master data'!$Q$2:$Q$40,0)),"")</f>
        <v>22 Aug 2026</v>
      </c>
      <c r="E16" s="10" t="n">
        <f aca="false">IFERROR(INDEX('Master data'!E$2:E$40,MATCH("Matched|"&amp;(ROW()-1),'Master data'!$Q$2:$Q$40,0)),"")</f>
        <v>25748</v>
      </c>
      <c r="F16" s="10" t="n">
        <f aca="false">IFERROR(INDEX('Master data'!F$2:F$40,MATCH("Matched|"&amp;(ROW()-1),'Master data'!$Q$2:$Q$40,0)),"")</f>
        <v>0</v>
      </c>
      <c r="G16" s="10" t="n">
        <f aca="false">IFERROR(INDEX('Master data'!G$2:G$40,MATCH("Matched|"&amp;(ROW()-1),'Master data'!$Q$2:$Q$40,0)),"")</f>
        <v>643.71</v>
      </c>
      <c r="H16" s="10" t="n">
        <f aca="false">IFERROR(INDEX('Master data'!H$2:H$40,MATCH("Matched|"&amp;(ROW()-1),'Master data'!$Q$2:$Q$40,0)),"")</f>
        <v>643.71</v>
      </c>
      <c r="I16" s="10" t="n">
        <f aca="false">IFERROR(INDEX('Master data'!I$2:I$40,MATCH("Matched|"&amp;(ROW()-1),'Master data'!$Q$2:$Q$40,0)),"")</f>
        <v>0</v>
      </c>
      <c r="J16" s="10" t="n">
        <f aca="false">IFERROR(INDEX('Master data'!J$2:J$40,MATCH("Matched|"&amp;(ROW()-1),'Master data'!$Q$2:$Q$40,0)),"")</f>
        <v>1287.42</v>
      </c>
      <c r="K16" s="10" t="n">
        <f aca="false">IFERROR(INDEX('Master data'!K$2:K$40,MATCH("Matched|"&amp;(ROW()-1),'Master data'!$Q$2:$Q$40,0)),"")</f>
        <v>27035</v>
      </c>
      <c r="L16" s="9" t="str">
        <f aca="false">IFERROR(INDEX('Master data'!L$2:L$40,MATCH("Matched|"&amp;(ROW()-1),'Master data'!$Q$2:$Q$40,0)),"")</f>
        <v>Matched</v>
      </c>
      <c r="M16" s="9" t="str">
        <f aca="false">IFERROR(INDEX('Master data'!M$2:M$40,MATCH("Matched|"&amp;(ROW()-1),'Master data'!$Q$2:$Q$40,0)),"")</f>
        <v>Not reviewed</v>
      </c>
      <c r="N16" s="9" t="n">
        <f aca="false">IFERROR(INDEX('Master data'!N$2:N$40,MATCH("Matched|"&amp;(ROW()-1),'Master data'!$Q$2:$Q$40,0)),"")</f>
        <v>0</v>
      </c>
      <c r="O16" s="9" t="str">
        <f aca="false">IFERROR(INDEX('Master data'!O$2:O$40,MATCH("Matched|"&amp;(ROW()-1),'Master data'!$Q$2:$Q$40,0)),"")</f>
        <v>High — 98%</v>
      </c>
      <c r="P16" s="11" t="str">
        <f aca="false">IFERROR(INDEX('Master data'!P$2:P$40,MATCH("Matched|"&amp;(ROW()-1),'Master data'!$Q$2:$Q$40,0)),"")</f>
        <v>Matched on: GSTIN 07AAGCP9332D1ZG, invoice '3386' (books) / 'PD/26-27/3386' (portal); taxable value, CGST, SGST, IGST and cess all agree. after invoice number variance ('3386' in books, 'PD/26-27/3386' on portal — same numeric core 3386)</v>
      </c>
    </row>
    <row r="17" customFormat="false" ht="120.85" hidden="false" customHeight="false" outlineLevel="0" collapsed="false">
      <c r="A17" s="9" t="str">
        <f aca="false">IFERROR(INDEX('Master data'!A$2:A$40,MATCH("Matched|"&amp;(ROW()-1),'Master data'!$Q$2:$Q$40,0)),"")</f>
        <v>ROOP LAXMI SAREES (P) LTD.</v>
      </c>
      <c r="B17" s="9" t="str">
        <f aca="false">IFERROR(INDEX('Master data'!B$2:B$40,MATCH("Matched|"&amp;(ROW()-1),'Master data'!$Q$2:$Q$40,0)),"")</f>
        <v>07AACCR8869H1ZU</v>
      </c>
      <c r="C17" s="9" t="str">
        <f aca="false">IFERROR(INDEX('Master data'!C$2:C$40,MATCH("Matched|"&amp;(ROW()-1),'Master data'!$Q$2:$Q$40,0)),"")</f>
        <v>3524</v>
      </c>
      <c r="D17" s="9" t="str">
        <f aca="false">IFERROR(INDEX('Master data'!D$2:D$40,MATCH("Matched|"&amp;(ROW()-1),'Master data'!$Q$2:$Q$40,0)),"")</f>
        <v>22 Aug 2026</v>
      </c>
      <c r="E17" s="10" t="n">
        <f aca="false">IFERROR(INDEX('Master data'!E$2:E$40,MATCH("Matched|"&amp;(ROW()-1),'Master data'!$Q$2:$Q$40,0)),"")</f>
        <v>35850</v>
      </c>
      <c r="F17" s="10" t="n">
        <f aca="false">IFERROR(INDEX('Master data'!F$2:F$40,MATCH("Matched|"&amp;(ROW()-1),'Master data'!$Q$2:$Q$40,0)),"")</f>
        <v>0</v>
      </c>
      <c r="G17" s="10" t="n">
        <f aca="false">IFERROR(INDEX('Master data'!G$2:G$40,MATCH("Matched|"&amp;(ROW()-1),'Master data'!$Q$2:$Q$40,0)),"")</f>
        <v>896.3</v>
      </c>
      <c r="H17" s="10" t="n">
        <f aca="false">IFERROR(INDEX('Master data'!H$2:H$40,MATCH("Matched|"&amp;(ROW()-1),'Master data'!$Q$2:$Q$40,0)),"")</f>
        <v>896.3</v>
      </c>
      <c r="I17" s="10" t="n">
        <f aca="false">IFERROR(INDEX('Master data'!I$2:I$40,MATCH("Matched|"&amp;(ROW()-1),'Master data'!$Q$2:$Q$40,0)),"")</f>
        <v>0</v>
      </c>
      <c r="J17" s="10" t="n">
        <f aca="false">IFERROR(INDEX('Master data'!J$2:J$40,MATCH("Matched|"&amp;(ROW()-1),'Master data'!$Q$2:$Q$40,0)),"")</f>
        <v>1792.6</v>
      </c>
      <c r="K17" s="10" t="n">
        <f aca="false">IFERROR(INDEX('Master data'!K$2:K$40,MATCH("Matched|"&amp;(ROW()-1),'Master data'!$Q$2:$Q$40,0)),"")</f>
        <v>37643</v>
      </c>
      <c r="L17" s="9" t="str">
        <f aca="false">IFERROR(INDEX('Master data'!L$2:L$40,MATCH("Matched|"&amp;(ROW()-1),'Master data'!$Q$2:$Q$40,0)),"")</f>
        <v>Matched</v>
      </c>
      <c r="M17" s="9" t="str">
        <f aca="false">IFERROR(INDEX('Master data'!M$2:M$40,MATCH("Matched|"&amp;(ROW()-1),'Master data'!$Q$2:$Q$40,0)),"")</f>
        <v>Not reviewed</v>
      </c>
      <c r="N17" s="9" t="n">
        <f aca="false">IFERROR(INDEX('Master data'!N$2:N$40,MATCH("Matched|"&amp;(ROW()-1),'Master data'!$Q$2:$Q$40,0)),"")</f>
        <v>0</v>
      </c>
      <c r="O17" s="9" t="str">
        <f aca="false">IFERROR(INDEX('Master data'!O$2:O$40,MATCH("Matched|"&amp;(ROW()-1),'Master data'!$Q$2:$Q$40,0)),"")</f>
        <v>High — 98%</v>
      </c>
      <c r="P17" s="11" t="str">
        <f aca="false">IFERROR(INDEX('Master data'!P$2:P$40,MATCH("Matched|"&amp;(ROW()-1),'Master data'!$Q$2:$Q$40,0)),"")</f>
        <v>Matched on: GSTIN 07AACCR8869H1ZU, invoice '3524' (books) / 'RL/3524/26-27' (portal); taxable value, CGST, SGST, IGST and cess all agree. after invoice number variance ('3524' in books, 'RL/3524/26-27' on portal — same numeric core 3524)</v>
      </c>
    </row>
    <row r="18" customFormat="false" ht="76.1" hidden="false" customHeight="false" outlineLevel="0" collapsed="false">
      <c r="A18" s="9" t="str">
        <f aca="false">IFERROR(INDEX('Master data'!A$2:A$40,MATCH("Matched|"&amp;(ROW()-1),'Master data'!$Q$2:$Q$40,0)),"")</f>
        <v>SURAJ BHAN SUNIL KUMAR &amp;CO.</v>
      </c>
      <c r="B18" s="9" t="str">
        <f aca="false">IFERROR(INDEX('Master data'!B$2:B$40,MATCH("Matched|"&amp;(ROW()-1),'Master data'!$Q$2:$Q$40,0)),"")</f>
        <v>07AAXFS9006M1ZC</v>
      </c>
      <c r="C18" s="9" t="str">
        <f aca="false">IFERROR(INDEX('Master data'!C$2:C$40,MATCH("Matched|"&amp;(ROW()-1),'Master data'!$Q$2:$Q$40,0)),"")</f>
        <v>T13985</v>
      </c>
      <c r="D18" s="9" t="str">
        <f aca="false">IFERROR(INDEX('Master data'!D$2:D$40,MATCH("Matched|"&amp;(ROW()-1),'Master data'!$Q$2:$Q$40,0)),"")</f>
        <v>22 Aug 2026</v>
      </c>
      <c r="E18" s="10" t="n">
        <f aca="false">IFERROR(INDEX('Master data'!E$2:E$40,MATCH("Matched|"&amp;(ROW()-1),'Master data'!$Q$2:$Q$40,0)),"")</f>
        <v>23340</v>
      </c>
      <c r="F18" s="10" t="n">
        <f aca="false">IFERROR(INDEX('Master data'!F$2:F$40,MATCH("Matched|"&amp;(ROW()-1),'Master data'!$Q$2:$Q$40,0)),"")</f>
        <v>0</v>
      </c>
      <c r="G18" s="10" t="n">
        <f aca="false">IFERROR(INDEX('Master data'!G$2:G$40,MATCH("Matched|"&amp;(ROW()-1),'Master data'!$Q$2:$Q$40,0)),"")</f>
        <v>2100.6</v>
      </c>
      <c r="H18" s="10" t="n">
        <f aca="false">IFERROR(INDEX('Master data'!H$2:H$40,MATCH("Matched|"&amp;(ROW()-1),'Master data'!$Q$2:$Q$40,0)),"")</f>
        <v>2100.6</v>
      </c>
      <c r="I18" s="10" t="n">
        <f aca="false">IFERROR(INDEX('Master data'!I$2:I$40,MATCH("Matched|"&amp;(ROW()-1),'Master data'!$Q$2:$Q$40,0)),"")</f>
        <v>0</v>
      </c>
      <c r="J18" s="10" t="n">
        <f aca="false">IFERROR(INDEX('Master data'!J$2:J$40,MATCH("Matched|"&amp;(ROW()-1),'Master data'!$Q$2:$Q$40,0)),"")</f>
        <v>4201.2</v>
      </c>
      <c r="K18" s="10" t="n">
        <f aca="false">IFERROR(INDEX('Master data'!K$2:K$40,MATCH("Matched|"&amp;(ROW()-1),'Master data'!$Q$2:$Q$40,0)),"")</f>
        <v>27541</v>
      </c>
      <c r="L18" s="9" t="str">
        <f aca="false">IFERROR(INDEX('Master data'!L$2:L$40,MATCH("Matched|"&amp;(ROW()-1),'Master data'!$Q$2:$Q$40,0)),"")</f>
        <v>Matched</v>
      </c>
      <c r="M18" s="9" t="str">
        <f aca="false">IFERROR(INDEX('Master data'!M$2:M$40,MATCH("Matched|"&amp;(ROW()-1),'Master data'!$Q$2:$Q$40,0)),"")</f>
        <v>Not reviewed</v>
      </c>
      <c r="N18" s="9" t="n">
        <f aca="false">IFERROR(INDEX('Master data'!N$2:N$40,MATCH("Matched|"&amp;(ROW()-1),'Master data'!$Q$2:$Q$40,0)),"")</f>
        <v>0</v>
      </c>
      <c r="O18" s="9" t="str">
        <f aca="false">IFERROR(INDEX('Master data'!O$2:O$40,MATCH("Matched|"&amp;(ROW()-1),'Master data'!$Q$2:$Q$40,0)),"")</f>
        <v>High — 98%</v>
      </c>
      <c r="P18" s="11" t="str">
        <f aca="false">IFERROR(INDEX('Master data'!P$2:P$40,MATCH("Matched|"&amp;(ROW()-1),'Master data'!$Q$2:$Q$40,0)),"")</f>
        <v>Matched on: GSTIN 07AAXFS9006M1ZC, invoice 'T13985' (books) / 'T13985/26-27' (portal); taxable value, CGST, SGST, IGST and cess all agree.</v>
      </c>
    </row>
    <row r="19" customFormat="false" ht="76.1" hidden="false" customHeight="false" outlineLevel="0" collapsed="false">
      <c r="A19" s="9" t="str">
        <f aca="false">IFERROR(INDEX('Master data'!A$2:A$40,MATCH("Matched|"&amp;(ROW()-1),'Master data'!$Q$2:$Q$40,0)),"")</f>
        <v>SURAJ BHAN SUNIL KUMAR &amp;CO.</v>
      </c>
      <c r="B19" s="9" t="str">
        <f aca="false">IFERROR(INDEX('Master data'!B$2:B$40,MATCH("Matched|"&amp;(ROW()-1),'Master data'!$Q$2:$Q$40,0)),"")</f>
        <v>07AAXFS9006M1ZC</v>
      </c>
      <c r="C19" s="9" t="str">
        <f aca="false">IFERROR(INDEX('Master data'!C$2:C$40,MATCH("Matched|"&amp;(ROW()-1),'Master data'!$Q$2:$Q$40,0)),"")</f>
        <v>T14127</v>
      </c>
      <c r="D19" s="9" t="str">
        <f aca="false">IFERROR(INDEX('Master data'!D$2:D$40,MATCH("Matched|"&amp;(ROW()-1),'Master data'!$Q$2:$Q$40,0)),"")</f>
        <v>22 Aug 2026</v>
      </c>
      <c r="E19" s="10" t="n">
        <f aca="false">IFERROR(INDEX('Master data'!E$2:E$40,MATCH("Matched|"&amp;(ROW()-1),'Master data'!$Q$2:$Q$40,0)),"")</f>
        <v>24390</v>
      </c>
      <c r="F19" s="10" t="n">
        <f aca="false">IFERROR(INDEX('Master data'!F$2:F$40,MATCH("Matched|"&amp;(ROW()-1),'Master data'!$Q$2:$Q$40,0)),"")</f>
        <v>0</v>
      </c>
      <c r="G19" s="10" t="n">
        <f aca="false">IFERROR(INDEX('Master data'!G$2:G$40,MATCH("Matched|"&amp;(ROW()-1),'Master data'!$Q$2:$Q$40,0)),"")</f>
        <v>2195.1</v>
      </c>
      <c r="H19" s="10" t="n">
        <f aca="false">IFERROR(INDEX('Master data'!H$2:H$40,MATCH("Matched|"&amp;(ROW()-1),'Master data'!$Q$2:$Q$40,0)),"")</f>
        <v>2195.1</v>
      </c>
      <c r="I19" s="10" t="n">
        <f aca="false">IFERROR(INDEX('Master data'!I$2:I$40,MATCH("Matched|"&amp;(ROW()-1),'Master data'!$Q$2:$Q$40,0)),"")</f>
        <v>0</v>
      </c>
      <c r="J19" s="10" t="n">
        <f aca="false">IFERROR(INDEX('Master data'!J$2:J$40,MATCH("Matched|"&amp;(ROW()-1),'Master data'!$Q$2:$Q$40,0)),"")</f>
        <v>4390.2</v>
      </c>
      <c r="K19" s="10" t="n">
        <f aca="false">IFERROR(INDEX('Master data'!K$2:K$40,MATCH("Matched|"&amp;(ROW()-1),'Master data'!$Q$2:$Q$40,0)),"")</f>
        <v>28780</v>
      </c>
      <c r="L19" s="9" t="str">
        <f aca="false">IFERROR(INDEX('Master data'!L$2:L$40,MATCH("Matched|"&amp;(ROW()-1),'Master data'!$Q$2:$Q$40,0)),"")</f>
        <v>Matched</v>
      </c>
      <c r="M19" s="9" t="str">
        <f aca="false">IFERROR(INDEX('Master data'!M$2:M$40,MATCH("Matched|"&amp;(ROW()-1),'Master data'!$Q$2:$Q$40,0)),"")</f>
        <v>Not reviewed</v>
      </c>
      <c r="N19" s="9" t="n">
        <f aca="false">IFERROR(INDEX('Master data'!N$2:N$40,MATCH("Matched|"&amp;(ROW()-1),'Master data'!$Q$2:$Q$40,0)),"")</f>
        <v>0</v>
      </c>
      <c r="O19" s="9" t="str">
        <f aca="false">IFERROR(INDEX('Master data'!O$2:O$40,MATCH("Matched|"&amp;(ROW()-1),'Master data'!$Q$2:$Q$40,0)),"")</f>
        <v>High — 98%</v>
      </c>
      <c r="P19" s="11" t="str">
        <f aca="false">IFERROR(INDEX('Master data'!P$2:P$40,MATCH("Matched|"&amp;(ROW()-1),'Master data'!$Q$2:$Q$40,0)),"")</f>
        <v>Matched on: GSTIN 07AAXFS9006M1ZC, invoice 'T14127' (books) / 'T14127/26-27' (portal); taxable value, CGST, SGST, IGST and cess all agree.</v>
      </c>
    </row>
    <row r="20" customFormat="false" ht="135.8" hidden="false" customHeight="false" outlineLevel="0" collapsed="false">
      <c r="A20" s="9" t="str">
        <f aca="false">IFERROR(INDEX('Master data'!A$2:A$40,MATCH("Matched|"&amp;(ROW()-1),'Master data'!$Q$2:$Q$40,0)),"")</f>
        <v>JAGDISH AND SONS INDIA LLP</v>
      </c>
      <c r="B20" s="9" t="str">
        <f aca="false">IFERROR(INDEX('Master data'!B$2:B$40,MATCH("Matched|"&amp;(ROW()-1),'Master data'!$Q$2:$Q$40,0)),"")</f>
        <v>07AAMFJ9163F1Z1</v>
      </c>
      <c r="C20" s="9" t="str">
        <f aca="false">IFERROR(INDEX('Master data'!C$2:C$40,MATCH("Matched|"&amp;(ROW()-1),'Master data'!$Q$2:$Q$40,0)),"")</f>
        <v>4284</v>
      </c>
      <c r="D20" s="9" t="str">
        <f aca="false">IFERROR(INDEX('Master data'!D$2:D$40,MATCH("Matched|"&amp;(ROW()-1),'Master data'!$Q$2:$Q$40,0)),"")</f>
        <v>24 Aug 2026</v>
      </c>
      <c r="E20" s="10" t="n">
        <f aca="false">IFERROR(INDEX('Master data'!E$2:E$40,MATCH("Matched|"&amp;(ROW()-1),'Master data'!$Q$2:$Q$40,0)),"")</f>
        <v>33670</v>
      </c>
      <c r="F20" s="10" t="n">
        <f aca="false">IFERROR(INDEX('Master data'!F$2:F$40,MATCH("Matched|"&amp;(ROW()-1),'Master data'!$Q$2:$Q$40,0)),"")</f>
        <v>0</v>
      </c>
      <c r="G20" s="10" t="n">
        <f aca="false">IFERROR(INDEX('Master data'!G$2:G$40,MATCH("Matched|"&amp;(ROW()-1),'Master data'!$Q$2:$Q$40,0)),"")</f>
        <v>1621.75</v>
      </c>
      <c r="H20" s="10" t="n">
        <f aca="false">IFERROR(INDEX('Master data'!H$2:H$40,MATCH("Matched|"&amp;(ROW()-1),'Master data'!$Q$2:$Q$40,0)),"")</f>
        <v>1621.75</v>
      </c>
      <c r="I20" s="10" t="n">
        <f aca="false">IFERROR(INDEX('Master data'!I$2:I$40,MATCH("Matched|"&amp;(ROW()-1),'Master data'!$Q$2:$Q$40,0)),"")</f>
        <v>0</v>
      </c>
      <c r="J20" s="10" t="n">
        <f aca="false">IFERROR(INDEX('Master data'!J$2:J$40,MATCH("Matched|"&amp;(ROW()-1),'Master data'!$Q$2:$Q$40,0)),"")</f>
        <v>3243.5</v>
      </c>
      <c r="K20" s="10" t="n">
        <f aca="false">IFERROR(INDEX('Master data'!K$2:K$40,MATCH("Matched|"&amp;(ROW()-1),'Master data'!$Q$2:$Q$40,0)),"")</f>
        <v>36914</v>
      </c>
      <c r="L20" s="9" t="str">
        <f aca="false">IFERROR(INDEX('Master data'!L$2:L$40,MATCH("Matched|"&amp;(ROW()-1),'Master data'!$Q$2:$Q$40,0)),"")</f>
        <v>Matched</v>
      </c>
      <c r="M20" s="9" t="str">
        <f aca="false">IFERROR(INDEX('Master data'!M$2:M$40,MATCH("Matched|"&amp;(ROW()-1),'Master data'!$Q$2:$Q$40,0)),"")</f>
        <v>Not reviewed</v>
      </c>
      <c r="N20" s="9" t="n">
        <f aca="false">IFERROR(INDEX('Master data'!N$2:N$40,MATCH("Matched|"&amp;(ROW()-1),'Master data'!$Q$2:$Q$40,0)),"")</f>
        <v>0</v>
      </c>
      <c r="O20" s="9" t="str">
        <f aca="false">IFERROR(INDEX('Master data'!O$2:O$40,MATCH("Matched|"&amp;(ROW()-1),'Master data'!$Q$2:$Q$40,0)),"")</f>
        <v>High — 98%</v>
      </c>
      <c r="P20" s="11" t="str">
        <f aca="false">IFERROR(INDEX('Master data'!P$2:P$40,MATCH("Matched|"&amp;(ROW()-1),'Master data'!$Q$2:$Q$40,0)),"")</f>
        <v>Matched on: GSTIN 07AAMFJ9163F1Z1, invoice '4284' (books) / 'JSIT-04284/26-27' (portal); taxable value, CGST, SGST, IGST and cess all agree. after invoice number variance ('4284' in books, 'JSIT-04284/26-27' on portal — same numeric core 4284)</v>
      </c>
    </row>
    <row r="21" customFormat="false" ht="61.15" hidden="false" customHeight="false" outlineLevel="0" collapsed="false">
      <c r="A21" s="9" t="str">
        <f aca="false">IFERROR(INDEX('Master data'!A$2:A$40,MATCH("Matched|"&amp;(ROW()-1),'Master data'!$Q$2:$Q$40,0)),"")</f>
        <v>SWAASTIK TRADING COMPANY</v>
      </c>
      <c r="B21" s="9" t="str">
        <f aca="false">IFERROR(INDEX('Master data'!B$2:B$40,MATCH("Matched|"&amp;(ROW()-1),'Master data'!$Q$2:$Q$40,0)),"")</f>
        <v>24DCNPB1786A1ZX</v>
      </c>
      <c r="C21" s="9" t="str">
        <f aca="false">IFERROR(INDEX('Master data'!C$2:C$40,MATCH("Matched|"&amp;(ROW()-1),'Master data'!$Q$2:$Q$40,0)),"")</f>
        <v>7953</v>
      </c>
      <c r="D21" s="9" t="str">
        <f aca="false">IFERROR(INDEX('Master data'!D$2:D$40,MATCH("Matched|"&amp;(ROW()-1),'Master data'!$Q$2:$Q$40,0)),"")</f>
        <v>24 Aug 2026</v>
      </c>
      <c r="E21" s="10" t="n">
        <f aca="false">IFERROR(INDEX('Master data'!E$2:E$40,MATCH("Matched|"&amp;(ROW()-1),'Master data'!$Q$2:$Q$40,0)),"")</f>
        <v>22090</v>
      </c>
      <c r="F21" s="10" t="n">
        <f aca="false">IFERROR(INDEX('Master data'!F$2:F$40,MATCH("Matched|"&amp;(ROW()-1),'Master data'!$Q$2:$Q$40,0)),"")</f>
        <v>3976.2</v>
      </c>
      <c r="G21" s="10" t="n">
        <f aca="false">IFERROR(INDEX('Master data'!G$2:G$40,MATCH("Matched|"&amp;(ROW()-1),'Master data'!$Q$2:$Q$40,0)),"")</f>
        <v>0</v>
      </c>
      <c r="H21" s="10" t="n">
        <f aca="false">IFERROR(INDEX('Master data'!H$2:H$40,MATCH("Matched|"&amp;(ROW()-1),'Master data'!$Q$2:$Q$40,0)),"")</f>
        <v>0</v>
      </c>
      <c r="I21" s="10" t="n">
        <f aca="false">IFERROR(INDEX('Master data'!I$2:I$40,MATCH("Matched|"&amp;(ROW()-1),'Master data'!$Q$2:$Q$40,0)),"")</f>
        <v>0</v>
      </c>
      <c r="J21" s="10" t="n">
        <f aca="false">IFERROR(INDEX('Master data'!J$2:J$40,MATCH("Matched|"&amp;(ROW()-1),'Master data'!$Q$2:$Q$40,0)),"")</f>
        <v>3976.2</v>
      </c>
      <c r="K21" s="10" t="n">
        <f aca="false">IFERROR(INDEX('Master data'!K$2:K$40,MATCH("Matched|"&amp;(ROW()-1),'Master data'!$Q$2:$Q$40,0)),"")</f>
        <v>26066</v>
      </c>
      <c r="L21" s="9" t="str">
        <f aca="false">IFERROR(INDEX('Master data'!L$2:L$40,MATCH("Matched|"&amp;(ROW()-1),'Master data'!$Q$2:$Q$40,0)),"")</f>
        <v>Matched</v>
      </c>
      <c r="M21" s="9" t="str">
        <f aca="false">IFERROR(INDEX('Master data'!M$2:M$40,MATCH("Matched|"&amp;(ROW()-1),'Master data'!$Q$2:$Q$40,0)),"")</f>
        <v>Not reviewed</v>
      </c>
      <c r="N21" s="9" t="n">
        <f aca="false">IFERROR(INDEX('Master data'!N$2:N$40,MATCH("Matched|"&amp;(ROW()-1),'Master data'!$Q$2:$Q$40,0)),"")</f>
        <v>0</v>
      </c>
      <c r="O21" s="9" t="str">
        <f aca="false">IFERROR(INDEX('Master data'!O$2:O$40,MATCH("Matched|"&amp;(ROW()-1),'Master data'!$Q$2:$Q$40,0)),"")</f>
        <v>High — 98%</v>
      </c>
      <c r="P21" s="11" t="str">
        <f aca="false">IFERROR(INDEX('Master data'!P$2:P$40,MATCH("Matched|"&amp;(ROW()-1),'Master data'!$Q$2:$Q$40,0)),"")</f>
        <v>Matched on: GSTIN 24DCNPB1786A1ZX, invoice 7953; taxable value, CGST, SGST, IGST and cess all agree.</v>
      </c>
    </row>
    <row r="22" customFormat="false" ht="61.15" hidden="false" customHeight="false" outlineLevel="0" collapsed="false">
      <c r="A22" s="9" t="str">
        <f aca="false">IFERROR(INDEX('Master data'!A$2:A$40,MATCH("Matched|"&amp;(ROW()-1),'Master data'!$Q$2:$Q$40,0)),"")</f>
        <v>SWAASTIK TRADING COMPANY</v>
      </c>
      <c r="B22" s="9" t="str">
        <f aca="false">IFERROR(INDEX('Master data'!B$2:B$40,MATCH("Matched|"&amp;(ROW()-1),'Master data'!$Q$2:$Q$40,0)),"")</f>
        <v>24DCNPB1786A1ZX</v>
      </c>
      <c r="C22" s="9" t="str">
        <f aca="false">IFERROR(INDEX('Master data'!C$2:C$40,MATCH("Matched|"&amp;(ROW()-1),'Master data'!$Q$2:$Q$40,0)),"")</f>
        <v>7955</v>
      </c>
      <c r="D22" s="9" t="str">
        <f aca="false">IFERROR(INDEX('Master data'!D$2:D$40,MATCH("Matched|"&amp;(ROW()-1),'Master data'!$Q$2:$Q$40,0)),"")</f>
        <v>24 Aug 2026</v>
      </c>
      <c r="E22" s="10" t="n">
        <f aca="false">IFERROR(INDEX('Master data'!E$2:E$40,MATCH("Matched|"&amp;(ROW()-1),'Master data'!$Q$2:$Q$40,0)),"")</f>
        <v>4570</v>
      </c>
      <c r="F22" s="10" t="n">
        <f aca="false">IFERROR(INDEX('Master data'!F$2:F$40,MATCH("Matched|"&amp;(ROW()-1),'Master data'!$Q$2:$Q$40,0)),"")</f>
        <v>228.5</v>
      </c>
      <c r="G22" s="10" t="n">
        <f aca="false">IFERROR(INDEX('Master data'!G$2:G$40,MATCH("Matched|"&amp;(ROW()-1),'Master data'!$Q$2:$Q$40,0)),"")</f>
        <v>0</v>
      </c>
      <c r="H22" s="10" t="n">
        <f aca="false">IFERROR(INDEX('Master data'!H$2:H$40,MATCH("Matched|"&amp;(ROW()-1),'Master data'!$Q$2:$Q$40,0)),"")</f>
        <v>0</v>
      </c>
      <c r="I22" s="10" t="n">
        <f aca="false">IFERROR(INDEX('Master data'!I$2:I$40,MATCH("Matched|"&amp;(ROW()-1),'Master data'!$Q$2:$Q$40,0)),"")</f>
        <v>0</v>
      </c>
      <c r="J22" s="10" t="n">
        <f aca="false">IFERROR(INDEX('Master data'!J$2:J$40,MATCH("Matched|"&amp;(ROW()-1),'Master data'!$Q$2:$Q$40,0)),"")</f>
        <v>228.5</v>
      </c>
      <c r="K22" s="10" t="n">
        <f aca="false">IFERROR(INDEX('Master data'!K$2:K$40,MATCH("Matched|"&amp;(ROW()-1),'Master data'!$Q$2:$Q$40,0)),"")</f>
        <v>4799</v>
      </c>
      <c r="L22" s="9" t="str">
        <f aca="false">IFERROR(INDEX('Master data'!L$2:L$40,MATCH("Matched|"&amp;(ROW()-1),'Master data'!$Q$2:$Q$40,0)),"")</f>
        <v>Matched</v>
      </c>
      <c r="M22" s="9" t="str">
        <f aca="false">IFERROR(INDEX('Master data'!M$2:M$40,MATCH("Matched|"&amp;(ROW()-1),'Master data'!$Q$2:$Q$40,0)),"")</f>
        <v>Not reviewed</v>
      </c>
      <c r="N22" s="9" t="n">
        <f aca="false">IFERROR(INDEX('Master data'!N$2:N$40,MATCH("Matched|"&amp;(ROW()-1),'Master data'!$Q$2:$Q$40,0)),"")</f>
        <v>0</v>
      </c>
      <c r="O22" s="9" t="str">
        <f aca="false">IFERROR(INDEX('Master data'!O$2:O$40,MATCH("Matched|"&amp;(ROW()-1),'Master data'!$Q$2:$Q$40,0)),"")</f>
        <v>High — 98%</v>
      </c>
      <c r="P22" s="11" t="str">
        <f aca="false">IFERROR(INDEX('Master data'!P$2:P$40,MATCH("Matched|"&amp;(ROW()-1),'Master data'!$Q$2:$Q$40,0)),"")</f>
        <v>Matched on: GSTIN 24DCNPB1786A1ZX, invoice 7955; taxable value, CGST, SGST, IGST and cess all agree.</v>
      </c>
    </row>
    <row r="23" customFormat="false" ht="76.1" hidden="false" customHeight="false" outlineLevel="0" collapsed="false">
      <c r="A23" s="9" t="str">
        <f aca="false">IFERROR(INDEX('Master data'!A$2:A$40,MATCH("Matched|"&amp;(ROW()-1),'Master data'!$Q$2:$Q$40,0)),"")</f>
        <v>SURAJ BHAN SUNIL KUMAR &amp;CO.</v>
      </c>
      <c r="B23" s="9" t="str">
        <f aca="false">IFERROR(INDEX('Master data'!B$2:B$40,MATCH("Matched|"&amp;(ROW()-1),'Master data'!$Q$2:$Q$40,0)),"")</f>
        <v>07AAXFS9006M1ZC</v>
      </c>
      <c r="C23" s="9" t="str">
        <f aca="false">IFERROR(INDEX('Master data'!C$2:C$40,MATCH("Matched|"&amp;(ROW()-1),'Master data'!$Q$2:$Q$40,0)),"")</f>
        <v>T14305</v>
      </c>
      <c r="D23" s="9" t="str">
        <f aca="false">IFERROR(INDEX('Master data'!D$2:D$40,MATCH("Matched|"&amp;(ROW()-1),'Master data'!$Q$2:$Q$40,0)),"")</f>
        <v>24 Aug 2026</v>
      </c>
      <c r="E23" s="10" t="n">
        <f aca="false">IFERROR(INDEX('Master data'!E$2:E$40,MATCH("Matched|"&amp;(ROW()-1),'Master data'!$Q$2:$Q$40,0)),"")</f>
        <v>13450</v>
      </c>
      <c r="F23" s="10" t="n">
        <f aca="false">IFERROR(INDEX('Master data'!F$2:F$40,MATCH("Matched|"&amp;(ROW()-1),'Master data'!$Q$2:$Q$40,0)),"")</f>
        <v>0</v>
      </c>
      <c r="G23" s="10" t="n">
        <f aca="false">IFERROR(INDEX('Master data'!G$2:G$40,MATCH("Matched|"&amp;(ROW()-1),'Master data'!$Q$2:$Q$40,0)),"")</f>
        <v>1210.5</v>
      </c>
      <c r="H23" s="10" t="n">
        <f aca="false">IFERROR(INDEX('Master data'!H$2:H$40,MATCH("Matched|"&amp;(ROW()-1),'Master data'!$Q$2:$Q$40,0)),"")</f>
        <v>1210.5</v>
      </c>
      <c r="I23" s="10" t="n">
        <f aca="false">IFERROR(INDEX('Master data'!I$2:I$40,MATCH("Matched|"&amp;(ROW()-1),'Master data'!$Q$2:$Q$40,0)),"")</f>
        <v>0</v>
      </c>
      <c r="J23" s="10" t="n">
        <f aca="false">IFERROR(INDEX('Master data'!J$2:J$40,MATCH("Matched|"&amp;(ROW()-1),'Master data'!$Q$2:$Q$40,0)),"")</f>
        <v>2421</v>
      </c>
      <c r="K23" s="10" t="n">
        <f aca="false">IFERROR(INDEX('Master data'!K$2:K$40,MATCH("Matched|"&amp;(ROW()-1),'Master data'!$Q$2:$Q$40,0)),"")</f>
        <v>15871</v>
      </c>
      <c r="L23" s="9" t="str">
        <f aca="false">IFERROR(INDEX('Master data'!L$2:L$40,MATCH("Matched|"&amp;(ROW()-1),'Master data'!$Q$2:$Q$40,0)),"")</f>
        <v>Matched</v>
      </c>
      <c r="M23" s="9" t="str">
        <f aca="false">IFERROR(INDEX('Master data'!M$2:M$40,MATCH("Matched|"&amp;(ROW()-1),'Master data'!$Q$2:$Q$40,0)),"")</f>
        <v>Not reviewed</v>
      </c>
      <c r="N23" s="9" t="n">
        <f aca="false">IFERROR(INDEX('Master data'!N$2:N$40,MATCH("Matched|"&amp;(ROW()-1),'Master data'!$Q$2:$Q$40,0)),"")</f>
        <v>0</v>
      </c>
      <c r="O23" s="9" t="str">
        <f aca="false">IFERROR(INDEX('Master data'!O$2:O$40,MATCH("Matched|"&amp;(ROW()-1),'Master data'!$Q$2:$Q$40,0)),"")</f>
        <v>High — 98%</v>
      </c>
      <c r="P23" s="11" t="str">
        <f aca="false">IFERROR(INDEX('Master data'!P$2:P$40,MATCH("Matched|"&amp;(ROW()-1),'Master data'!$Q$2:$Q$40,0)),"")</f>
        <v>Matched on: GSTIN 07AAXFS9006M1ZC, invoice 'T14305' (books) / 'T14305/26-27' (portal); taxable value, CGST, SGST, IGST and cess all agree.</v>
      </c>
    </row>
    <row r="24" customFormat="false" ht="76.1" hidden="false" customHeight="false" outlineLevel="0" collapsed="false">
      <c r="A24" s="9" t="str">
        <f aca="false">IFERROR(INDEX('Master data'!A$2:A$40,MATCH("Matched|"&amp;(ROW()-1),'Master data'!$Q$2:$Q$40,0)),"")</f>
        <v>SURAJ BHAN SUNIL KUMAR &amp;CO.</v>
      </c>
      <c r="B24" s="9" t="str">
        <f aca="false">IFERROR(INDEX('Master data'!B$2:B$40,MATCH("Matched|"&amp;(ROW()-1),'Master data'!$Q$2:$Q$40,0)),"")</f>
        <v>07AAXFS9006M1ZC</v>
      </c>
      <c r="C24" s="9" t="str">
        <f aca="false">IFERROR(INDEX('Master data'!C$2:C$40,MATCH("Matched|"&amp;(ROW()-1),'Master data'!$Q$2:$Q$40,0)),"")</f>
        <v>T14374</v>
      </c>
      <c r="D24" s="9" t="str">
        <f aca="false">IFERROR(INDEX('Master data'!D$2:D$40,MATCH("Matched|"&amp;(ROW()-1),'Master data'!$Q$2:$Q$40,0)),"")</f>
        <v>24 Aug 2026</v>
      </c>
      <c r="E24" s="10" t="n">
        <f aca="false">IFERROR(INDEX('Master data'!E$2:E$40,MATCH("Matched|"&amp;(ROW()-1),'Master data'!$Q$2:$Q$40,0)),"")</f>
        <v>8765</v>
      </c>
      <c r="F24" s="10" t="n">
        <f aca="false">IFERROR(INDEX('Master data'!F$2:F$40,MATCH("Matched|"&amp;(ROW()-1),'Master data'!$Q$2:$Q$40,0)),"")</f>
        <v>0</v>
      </c>
      <c r="G24" s="10" t="n">
        <f aca="false">IFERROR(INDEX('Master data'!G$2:G$40,MATCH("Matched|"&amp;(ROW()-1),'Master data'!$Q$2:$Q$40,0)),"")</f>
        <v>219.13</v>
      </c>
      <c r="H24" s="10" t="n">
        <f aca="false">IFERROR(INDEX('Master data'!H$2:H$40,MATCH("Matched|"&amp;(ROW()-1),'Master data'!$Q$2:$Q$40,0)),"")</f>
        <v>219.13</v>
      </c>
      <c r="I24" s="10" t="n">
        <f aca="false">IFERROR(INDEX('Master data'!I$2:I$40,MATCH("Matched|"&amp;(ROW()-1),'Master data'!$Q$2:$Q$40,0)),"")</f>
        <v>0</v>
      </c>
      <c r="J24" s="10" t="n">
        <f aca="false">IFERROR(INDEX('Master data'!J$2:J$40,MATCH("Matched|"&amp;(ROW()-1),'Master data'!$Q$2:$Q$40,0)),"")</f>
        <v>438.26</v>
      </c>
      <c r="K24" s="10" t="n">
        <f aca="false">IFERROR(INDEX('Master data'!K$2:K$40,MATCH("Matched|"&amp;(ROW()-1),'Master data'!$Q$2:$Q$40,0)),"")</f>
        <v>9203</v>
      </c>
      <c r="L24" s="9" t="str">
        <f aca="false">IFERROR(INDEX('Master data'!L$2:L$40,MATCH("Matched|"&amp;(ROW()-1),'Master data'!$Q$2:$Q$40,0)),"")</f>
        <v>Matched</v>
      </c>
      <c r="M24" s="9" t="str">
        <f aca="false">IFERROR(INDEX('Master data'!M$2:M$40,MATCH("Matched|"&amp;(ROW()-1),'Master data'!$Q$2:$Q$40,0)),"")</f>
        <v>Not reviewed</v>
      </c>
      <c r="N24" s="9" t="n">
        <f aca="false">IFERROR(INDEX('Master data'!N$2:N$40,MATCH("Matched|"&amp;(ROW()-1),'Master data'!$Q$2:$Q$40,0)),"")</f>
        <v>0</v>
      </c>
      <c r="O24" s="9" t="str">
        <f aca="false">IFERROR(INDEX('Master data'!O$2:O$40,MATCH("Matched|"&amp;(ROW()-1),'Master data'!$Q$2:$Q$40,0)),"")</f>
        <v>High — 98%</v>
      </c>
      <c r="P24" s="11" t="str">
        <f aca="false">IFERROR(INDEX('Master data'!P$2:P$40,MATCH("Matched|"&amp;(ROW()-1),'Master data'!$Q$2:$Q$40,0)),"")</f>
        <v>Matched on: GSTIN 07AAXFS9006M1ZC, invoice 'T14374' (books) / 'T14374/26-27' (portal); taxable value, CGST, SGST, IGST and cess all agree.</v>
      </c>
    </row>
    <row r="25" customFormat="false" ht="76.1" hidden="false" customHeight="false" outlineLevel="0" collapsed="false">
      <c r="A25" s="9" t="str">
        <f aca="false">IFERROR(INDEX('Master data'!A$2:A$40,MATCH("Matched|"&amp;(ROW()-1),'Master data'!$Q$2:$Q$40,0)),"")</f>
        <v>SURAJ BHAN SUNIL KUMAR &amp;CO.</v>
      </c>
      <c r="B25" s="9" t="str">
        <f aca="false">IFERROR(INDEX('Master data'!B$2:B$40,MATCH("Matched|"&amp;(ROW()-1),'Master data'!$Q$2:$Q$40,0)),"")</f>
        <v>07AAXFS9006M1ZC</v>
      </c>
      <c r="C25" s="9" t="str">
        <f aca="false">IFERROR(INDEX('Master data'!C$2:C$40,MATCH("Matched|"&amp;(ROW()-1),'Master data'!$Q$2:$Q$40,0)),"")</f>
        <v>T14445</v>
      </c>
      <c r="D25" s="9" t="str">
        <f aca="false">IFERROR(INDEX('Master data'!D$2:D$40,MATCH("Matched|"&amp;(ROW()-1),'Master data'!$Q$2:$Q$40,0)),"")</f>
        <v>25 Aug 2026</v>
      </c>
      <c r="E25" s="10" t="n">
        <f aca="false">IFERROR(INDEX('Master data'!E$2:E$40,MATCH("Matched|"&amp;(ROW()-1),'Master data'!$Q$2:$Q$40,0)),"")</f>
        <v>7995</v>
      </c>
      <c r="F25" s="10" t="n">
        <f aca="false">IFERROR(INDEX('Master data'!F$2:F$40,MATCH("Matched|"&amp;(ROW()-1),'Master data'!$Q$2:$Q$40,0)),"")</f>
        <v>0</v>
      </c>
      <c r="G25" s="10" t="n">
        <f aca="false">IFERROR(INDEX('Master data'!G$2:G$40,MATCH("Matched|"&amp;(ROW()-1),'Master data'!$Q$2:$Q$40,0)),"")</f>
        <v>719.55</v>
      </c>
      <c r="H25" s="10" t="n">
        <f aca="false">IFERROR(INDEX('Master data'!H$2:H$40,MATCH("Matched|"&amp;(ROW()-1),'Master data'!$Q$2:$Q$40,0)),"")</f>
        <v>719.55</v>
      </c>
      <c r="I25" s="10" t="n">
        <f aca="false">IFERROR(INDEX('Master data'!I$2:I$40,MATCH("Matched|"&amp;(ROW()-1),'Master data'!$Q$2:$Q$40,0)),"")</f>
        <v>0</v>
      </c>
      <c r="J25" s="10" t="n">
        <f aca="false">IFERROR(INDEX('Master data'!J$2:J$40,MATCH("Matched|"&amp;(ROW()-1),'Master data'!$Q$2:$Q$40,0)),"")</f>
        <v>1439.1</v>
      </c>
      <c r="K25" s="10" t="n">
        <f aca="false">IFERROR(INDEX('Master data'!K$2:K$40,MATCH("Matched|"&amp;(ROW()-1),'Master data'!$Q$2:$Q$40,0)),"")</f>
        <v>9434</v>
      </c>
      <c r="L25" s="9" t="str">
        <f aca="false">IFERROR(INDEX('Master data'!L$2:L$40,MATCH("Matched|"&amp;(ROW()-1),'Master data'!$Q$2:$Q$40,0)),"")</f>
        <v>Matched</v>
      </c>
      <c r="M25" s="9" t="str">
        <f aca="false">IFERROR(INDEX('Master data'!M$2:M$40,MATCH("Matched|"&amp;(ROW()-1),'Master data'!$Q$2:$Q$40,0)),"")</f>
        <v>Not reviewed</v>
      </c>
      <c r="N25" s="9" t="n">
        <f aca="false">IFERROR(INDEX('Master data'!N$2:N$40,MATCH("Matched|"&amp;(ROW()-1),'Master data'!$Q$2:$Q$40,0)),"")</f>
        <v>0</v>
      </c>
      <c r="O25" s="9" t="str">
        <f aca="false">IFERROR(INDEX('Master data'!O$2:O$40,MATCH("Matched|"&amp;(ROW()-1),'Master data'!$Q$2:$Q$40,0)),"")</f>
        <v>High — 98%</v>
      </c>
      <c r="P25" s="11" t="str">
        <f aca="false">IFERROR(INDEX('Master data'!P$2:P$40,MATCH("Matched|"&amp;(ROW()-1),'Master data'!$Q$2:$Q$40,0)),"")</f>
        <v>Matched on: GSTIN 07AAXFS9006M1ZC, invoice 'T14445' (books) / 'T14445/26-27' (portal); taxable value, CGST, SGST, IGST and cess all agree.</v>
      </c>
    </row>
    <row r="26" customFormat="false" ht="61.15" hidden="false" customHeight="false" outlineLevel="0" collapsed="false">
      <c r="A26" s="9" t="str">
        <f aca="false">IFERROR(INDEX('Master data'!A$2:A$40,MATCH("Matched|"&amp;(ROW()-1),'Master data'!$Q$2:$Q$40,0)),"")</f>
        <v>PUSHPANJALI FASHION</v>
      </c>
      <c r="B26" s="9" t="str">
        <f aca="false">IFERROR(INDEX('Master data'!B$2:B$40,MATCH("Matched|"&amp;(ROW()-1),'Master data'!$Q$2:$Q$40,0)),"")</f>
        <v>07APRPG2889P1ZV</v>
      </c>
      <c r="C26" s="9" t="str">
        <f aca="false">IFERROR(INDEX('Master data'!C$2:C$40,MATCH("Matched|"&amp;(ROW()-1),'Master data'!$Q$2:$Q$40,0)),"")</f>
        <v>65</v>
      </c>
      <c r="D26" s="9" t="str">
        <f aca="false">IFERROR(INDEX('Master data'!D$2:D$40,MATCH("Matched|"&amp;(ROW()-1),'Master data'!$Q$2:$Q$40,0)),"")</f>
        <v>26 Aug 2026</v>
      </c>
      <c r="E26" s="10" t="n">
        <f aca="false">IFERROR(INDEX('Master data'!E$2:E$40,MATCH("Matched|"&amp;(ROW()-1),'Master data'!$Q$2:$Q$40,0)),"")</f>
        <v>20635</v>
      </c>
      <c r="F26" s="10" t="n">
        <f aca="false">IFERROR(INDEX('Master data'!F$2:F$40,MATCH("Matched|"&amp;(ROW()-1),'Master data'!$Q$2:$Q$40,0)),"")</f>
        <v>0</v>
      </c>
      <c r="G26" s="10" t="n">
        <f aca="false">IFERROR(INDEX('Master data'!G$2:G$40,MATCH("Matched|"&amp;(ROW()-1),'Master data'!$Q$2:$Q$40,0)),"")</f>
        <v>515.88</v>
      </c>
      <c r="H26" s="10" t="n">
        <f aca="false">IFERROR(INDEX('Master data'!H$2:H$40,MATCH("Matched|"&amp;(ROW()-1),'Master data'!$Q$2:$Q$40,0)),"")</f>
        <v>515.88</v>
      </c>
      <c r="I26" s="10" t="n">
        <f aca="false">IFERROR(INDEX('Master data'!I$2:I$40,MATCH("Matched|"&amp;(ROW()-1),'Master data'!$Q$2:$Q$40,0)),"")</f>
        <v>0</v>
      </c>
      <c r="J26" s="10" t="n">
        <f aca="false">IFERROR(INDEX('Master data'!J$2:J$40,MATCH("Matched|"&amp;(ROW()-1),'Master data'!$Q$2:$Q$40,0)),"")</f>
        <v>1031.76</v>
      </c>
      <c r="K26" s="10" t="n">
        <f aca="false">IFERROR(INDEX('Master data'!K$2:K$40,MATCH("Matched|"&amp;(ROW()-1),'Master data'!$Q$2:$Q$40,0)),"")</f>
        <v>21667</v>
      </c>
      <c r="L26" s="9" t="str">
        <f aca="false">IFERROR(INDEX('Master data'!L$2:L$40,MATCH("Matched|"&amp;(ROW()-1),'Master data'!$Q$2:$Q$40,0)),"")</f>
        <v>Matched</v>
      </c>
      <c r="M26" s="9" t="str">
        <f aca="false">IFERROR(INDEX('Master data'!M$2:M$40,MATCH("Matched|"&amp;(ROW()-1),'Master data'!$Q$2:$Q$40,0)),"")</f>
        <v>Not reviewed</v>
      </c>
      <c r="N26" s="9" t="n">
        <f aca="false">IFERROR(INDEX('Master data'!N$2:N$40,MATCH("Matched|"&amp;(ROW()-1),'Master data'!$Q$2:$Q$40,0)),"")</f>
        <v>0</v>
      </c>
      <c r="O26" s="9" t="str">
        <f aca="false">IFERROR(INDEX('Master data'!O$2:O$40,MATCH("Matched|"&amp;(ROW()-1),'Master data'!$Q$2:$Q$40,0)),"")</f>
        <v>High — 98%</v>
      </c>
      <c r="P26" s="11" t="str">
        <f aca="false">IFERROR(INDEX('Master data'!P$2:P$40,MATCH("Matched|"&amp;(ROW()-1),'Master data'!$Q$2:$Q$40,0)),"")</f>
        <v>Matched on: GSTIN 07APRPG2889P1ZV, invoice 65; taxable value, CGST, SGST, IGST and cess all agree.</v>
      </c>
    </row>
    <row r="27" customFormat="false" ht="76.1" hidden="false" customHeight="false" outlineLevel="0" collapsed="false">
      <c r="A27" s="9" t="str">
        <f aca="false">IFERROR(INDEX('Master data'!A$2:A$40,MATCH("Matched|"&amp;(ROW()-1),'Master data'!$Q$2:$Q$40,0)),"")</f>
        <v>SURAJ BHAN SUNIL KUMAR &amp;CO.</v>
      </c>
      <c r="B27" s="9" t="str">
        <f aca="false">IFERROR(INDEX('Master data'!B$2:B$40,MATCH("Matched|"&amp;(ROW()-1),'Master data'!$Q$2:$Q$40,0)),"")</f>
        <v>07AAXFS9006M1ZC</v>
      </c>
      <c r="C27" s="9" t="str">
        <f aca="false">IFERROR(INDEX('Master data'!C$2:C$40,MATCH("Matched|"&amp;(ROW()-1),'Master data'!$Q$2:$Q$40,0)),"")</f>
        <v>T14781</v>
      </c>
      <c r="D27" s="9" t="str">
        <f aca="false">IFERROR(INDEX('Master data'!D$2:D$40,MATCH("Matched|"&amp;(ROW()-1),'Master data'!$Q$2:$Q$40,0)),"")</f>
        <v>27 Aug 2026</v>
      </c>
      <c r="E27" s="10" t="n">
        <f aca="false">IFERROR(INDEX('Master data'!E$2:E$40,MATCH("Matched|"&amp;(ROW()-1),'Master data'!$Q$2:$Q$40,0)),"")</f>
        <v>7075</v>
      </c>
      <c r="F27" s="10" t="n">
        <f aca="false">IFERROR(INDEX('Master data'!F$2:F$40,MATCH("Matched|"&amp;(ROW()-1),'Master data'!$Q$2:$Q$40,0)),"")</f>
        <v>0</v>
      </c>
      <c r="G27" s="10" t="n">
        <f aca="false">IFERROR(INDEX('Master data'!G$2:G$40,MATCH("Matched|"&amp;(ROW()-1),'Master data'!$Q$2:$Q$40,0)),"")</f>
        <v>636.75</v>
      </c>
      <c r="H27" s="10" t="n">
        <f aca="false">IFERROR(INDEX('Master data'!H$2:H$40,MATCH("Matched|"&amp;(ROW()-1),'Master data'!$Q$2:$Q$40,0)),"")</f>
        <v>636.75</v>
      </c>
      <c r="I27" s="10" t="n">
        <f aca="false">IFERROR(INDEX('Master data'!I$2:I$40,MATCH("Matched|"&amp;(ROW()-1),'Master data'!$Q$2:$Q$40,0)),"")</f>
        <v>0</v>
      </c>
      <c r="J27" s="10" t="n">
        <f aca="false">IFERROR(INDEX('Master data'!J$2:J$40,MATCH("Matched|"&amp;(ROW()-1),'Master data'!$Q$2:$Q$40,0)),"")</f>
        <v>1273.5</v>
      </c>
      <c r="K27" s="10" t="n">
        <f aca="false">IFERROR(INDEX('Master data'!K$2:K$40,MATCH("Matched|"&amp;(ROW()-1),'Master data'!$Q$2:$Q$40,0)),"")</f>
        <v>8349</v>
      </c>
      <c r="L27" s="9" t="str">
        <f aca="false">IFERROR(INDEX('Master data'!L$2:L$40,MATCH("Matched|"&amp;(ROW()-1),'Master data'!$Q$2:$Q$40,0)),"")</f>
        <v>Matched</v>
      </c>
      <c r="M27" s="9" t="str">
        <f aca="false">IFERROR(INDEX('Master data'!M$2:M$40,MATCH("Matched|"&amp;(ROW()-1),'Master data'!$Q$2:$Q$40,0)),"")</f>
        <v>Not reviewed</v>
      </c>
      <c r="N27" s="9" t="n">
        <f aca="false">IFERROR(INDEX('Master data'!N$2:N$40,MATCH("Matched|"&amp;(ROW()-1),'Master data'!$Q$2:$Q$40,0)),"")</f>
        <v>0</v>
      </c>
      <c r="O27" s="9" t="str">
        <f aca="false">IFERROR(INDEX('Master data'!O$2:O$40,MATCH("Matched|"&amp;(ROW()-1),'Master data'!$Q$2:$Q$40,0)),"")</f>
        <v>High — 98%</v>
      </c>
      <c r="P27" s="11" t="str">
        <f aca="false">IFERROR(INDEX('Master data'!P$2:P$40,MATCH("Matched|"&amp;(ROW()-1),'Master data'!$Q$2:$Q$40,0)),"")</f>
        <v>Matched on: GSTIN 07AAXFS9006M1ZC, invoice 'T14781' (books) / 'T14781/26-27' (portal); taxable value, CGST, SGST, IGST and cess all agree.</v>
      </c>
    </row>
    <row r="28" customFormat="false" ht="135.8" hidden="false" customHeight="false" outlineLevel="0" collapsed="false">
      <c r="A28" s="9" t="str">
        <f aca="false">IFERROR(INDEX('Master data'!A$2:A$40,MATCH("Matched|"&amp;(ROW()-1),'Master data'!$Q$2:$Q$40,0)),"")</f>
        <v>JAGDISH AND SONS INDIA LLP</v>
      </c>
      <c r="B28" s="9" t="str">
        <f aca="false">IFERROR(INDEX('Master data'!B$2:B$40,MATCH("Matched|"&amp;(ROW()-1),'Master data'!$Q$2:$Q$40,0)),"")</f>
        <v>07AAMFJ9163F1Z1</v>
      </c>
      <c r="C28" s="9" t="str">
        <f aca="false">IFERROR(INDEX('Master data'!C$2:C$40,MATCH("Matched|"&amp;(ROW()-1),'Master data'!$Q$2:$Q$40,0)),"")</f>
        <v>4507</v>
      </c>
      <c r="D28" s="9" t="str">
        <f aca="false">IFERROR(INDEX('Master data'!D$2:D$40,MATCH("Matched|"&amp;(ROW()-1),'Master data'!$Q$2:$Q$40,0)),"")</f>
        <v>29 Aug 2026</v>
      </c>
      <c r="E28" s="10" t="n">
        <f aca="false">IFERROR(INDEX('Master data'!E$2:E$40,MATCH("Matched|"&amp;(ROW()-1),'Master data'!$Q$2:$Q$40,0)),"")</f>
        <v>22545</v>
      </c>
      <c r="F28" s="10" t="n">
        <f aca="false">IFERROR(INDEX('Master data'!F$2:F$40,MATCH("Matched|"&amp;(ROW()-1),'Master data'!$Q$2:$Q$40,0)),"")</f>
        <v>0</v>
      </c>
      <c r="G28" s="10" t="n">
        <f aca="false">IFERROR(INDEX('Master data'!G$2:G$40,MATCH("Matched|"&amp;(ROW()-1),'Master data'!$Q$2:$Q$40,0)),"")</f>
        <v>2029.05</v>
      </c>
      <c r="H28" s="10" t="n">
        <f aca="false">IFERROR(INDEX('Master data'!H$2:H$40,MATCH("Matched|"&amp;(ROW()-1),'Master data'!$Q$2:$Q$40,0)),"")</f>
        <v>2029.05</v>
      </c>
      <c r="I28" s="10" t="n">
        <f aca="false">IFERROR(INDEX('Master data'!I$2:I$40,MATCH("Matched|"&amp;(ROW()-1),'Master data'!$Q$2:$Q$40,0)),"")</f>
        <v>0</v>
      </c>
      <c r="J28" s="10" t="n">
        <f aca="false">IFERROR(INDEX('Master data'!J$2:J$40,MATCH("Matched|"&amp;(ROW()-1),'Master data'!$Q$2:$Q$40,0)),"")</f>
        <v>4058.1</v>
      </c>
      <c r="K28" s="10" t="n">
        <f aca="false">IFERROR(INDEX('Master data'!K$2:K$40,MATCH("Matched|"&amp;(ROW()-1),'Master data'!$Q$2:$Q$40,0)),"")</f>
        <v>26603</v>
      </c>
      <c r="L28" s="9" t="str">
        <f aca="false">IFERROR(INDEX('Master data'!L$2:L$40,MATCH("Matched|"&amp;(ROW()-1),'Master data'!$Q$2:$Q$40,0)),"")</f>
        <v>Matched</v>
      </c>
      <c r="M28" s="9" t="str">
        <f aca="false">IFERROR(INDEX('Master data'!M$2:M$40,MATCH("Matched|"&amp;(ROW()-1),'Master data'!$Q$2:$Q$40,0)),"")</f>
        <v>Not reviewed</v>
      </c>
      <c r="N28" s="9" t="n">
        <f aca="false">IFERROR(INDEX('Master data'!N$2:N$40,MATCH("Matched|"&amp;(ROW()-1),'Master data'!$Q$2:$Q$40,0)),"")</f>
        <v>0</v>
      </c>
      <c r="O28" s="9" t="str">
        <f aca="false">IFERROR(INDEX('Master data'!O$2:O$40,MATCH("Matched|"&amp;(ROW()-1),'Master data'!$Q$2:$Q$40,0)),"")</f>
        <v>High — 98%</v>
      </c>
      <c r="P28" s="11" t="str">
        <f aca="false">IFERROR(INDEX('Master data'!P$2:P$40,MATCH("Matched|"&amp;(ROW()-1),'Master data'!$Q$2:$Q$40,0)),"")</f>
        <v>Matched on: GSTIN 07AAMFJ9163F1Z1, invoice '4507' (books) / 'JSIT-04507/26-27' (portal); taxable value, CGST, SGST, IGST and cess all agree. after invoice number variance ('4507' in books, 'JSIT-04507/26-27' on portal — same numeric core 4507)</v>
      </c>
    </row>
    <row r="29" customFormat="false" ht="76.1" hidden="false" customHeight="false" outlineLevel="0" collapsed="false">
      <c r="A29" s="9" t="str">
        <f aca="false">IFERROR(INDEX('Master data'!A$2:A$40,MATCH("Matched|"&amp;(ROW()-1),'Master data'!$Q$2:$Q$40,0)),"")</f>
        <v>SURAJ BHAN SUNIL KUMAR &amp;CO.</v>
      </c>
      <c r="B29" s="9" t="str">
        <f aca="false">IFERROR(INDEX('Master data'!B$2:B$40,MATCH("Matched|"&amp;(ROW()-1),'Master data'!$Q$2:$Q$40,0)),"")</f>
        <v>07AAXFS9006M1ZC</v>
      </c>
      <c r="C29" s="9" t="str">
        <f aca="false">IFERROR(INDEX('Master data'!C$2:C$40,MATCH("Matched|"&amp;(ROW()-1),'Master data'!$Q$2:$Q$40,0)),"")</f>
        <v>T15042</v>
      </c>
      <c r="D29" s="9" t="str">
        <f aca="false">IFERROR(INDEX('Master data'!D$2:D$40,MATCH("Matched|"&amp;(ROW()-1),'Master data'!$Q$2:$Q$40,0)),"")</f>
        <v>29 Aug 2026</v>
      </c>
      <c r="E29" s="10" t="n">
        <f aca="false">IFERROR(INDEX('Master data'!E$2:E$40,MATCH("Matched|"&amp;(ROW()-1),'Master data'!$Q$2:$Q$40,0)),"")</f>
        <v>11160</v>
      </c>
      <c r="F29" s="10" t="n">
        <f aca="false">IFERROR(INDEX('Master data'!F$2:F$40,MATCH("Matched|"&amp;(ROW()-1),'Master data'!$Q$2:$Q$40,0)),"")</f>
        <v>0</v>
      </c>
      <c r="G29" s="10" t="n">
        <f aca="false">IFERROR(INDEX('Master data'!G$2:G$40,MATCH("Matched|"&amp;(ROW()-1),'Master data'!$Q$2:$Q$40,0)),"")</f>
        <v>1004.4</v>
      </c>
      <c r="H29" s="10" t="n">
        <f aca="false">IFERROR(INDEX('Master data'!H$2:H$40,MATCH("Matched|"&amp;(ROW()-1),'Master data'!$Q$2:$Q$40,0)),"")</f>
        <v>1004.4</v>
      </c>
      <c r="I29" s="10" t="n">
        <f aca="false">IFERROR(INDEX('Master data'!I$2:I$40,MATCH("Matched|"&amp;(ROW()-1),'Master data'!$Q$2:$Q$40,0)),"")</f>
        <v>0</v>
      </c>
      <c r="J29" s="10" t="n">
        <f aca="false">IFERROR(INDEX('Master data'!J$2:J$40,MATCH("Matched|"&amp;(ROW()-1),'Master data'!$Q$2:$Q$40,0)),"")</f>
        <v>2008.8</v>
      </c>
      <c r="K29" s="10" t="n">
        <f aca="false">IFERROR(INDEX('Master data'!K$2:K$40,MATCH("Matched|"&amp;(ROW()-1),'Master data'!$Q$2:$Q$40,0)),"")</f>
        <v>13169</v>
      </c>
      <c r="L29" s="9" t="str">
        <f aca="false">IFERROR(INDEX('Master data'!L$2:L$40,MATCH("Matched|"&amp;(ROW()-1),'Master data'!$Q$2:$Q$40,0)),"")</f>
        <v>Matched</v>
      </c>
      <c r="M29" s="9" t="str">
        <f aca="false">IFERROR(INDEX('Master data'!M$2:M$40,MATCH("Matched|"&amp;(ROW()-1),'Master data'!$Q$2:$Q$40,0)),"")</f>
        <v>Not reviewed</v>
      </c>
      <c r="N29" s="9" t="n">
        <f aca="false">IFERROR(INDEX('Master data'!N$2:N$40,MATCH("Matched|"&amp;(ROW()-1),'Master data'!$Q$2:$Q$40,0)),"")</f>
        <v>0</v>
      </c>
      <c r="O29" s="9" t="str">
        <f aca="false">IFERROR(INDEX('Master data'!O$2:O$40,MATCH("Matched|"&amp;(ROW()-1),'Master data'!$Q$2:$Q$40,0)),"")</f>
        <v>High — 98%</v>
      </c>
      <c r="P29" s="11" t="str">
        <f aca="false">IFERROR(INDEX('Master data'!P$2:P$40,MATCH("Matched|"&amp;(ROW()-1),'Master data'!$Q$2:$Q$40,0)),"")</f>
        <v>Matched on: GSTIN 07AAXFS9006M1ZC, invoice 'T15042' (books) / 'T15042/26-27' (portal); taxable value, CGST, SGST, IGST and cess all agree.</v>
      </c>
    </row>
    <row r="30" customFormat="false" ht="76.1" hidden="false" customHeight="false" outlineLevel="0" collapsed="false">
      <c r="A30" s="9" t="str">
        <f aca="false">IFERROR(INDEX('Master data'!A$2:A$40,MATCH("Matched|"&amp;(ROW()-1),'Master data'!$Q$2:$Q$40,0)),"")</f>
        <v>SURAJ BHAN SUNIL KUMAR &amp;CO.</v>
      </c>
      <c r="B30" s="9" t="str">
        <f aca="false">IFERROR(INDEX('Master data'!B$2:B$40,MATCH("Matched|"&amp;(ROW()-1),'Master data'!$Q$2:$Q$40,0)),"")</f>
        <v>07AAXFS9006M1ZC</v>
      </c>
      <c r="C30" s="9" t="str">
        <f aca="false">IFERROR(INDEX('Master data'!C$2:C$40,MATCH("Matched|"&amp;(ROW()-1),'Master data'!$Q$2:$Q$40,0)),"")</f>
        <v>T15076</v>
      </c>
      <c r="D30" s="9" t="str">
        <f aca="false">IFERROR(INDEX('Master data'!D$2:D$40,MATCH("Matched|"&amp;(ROW()-1),'Master data'!$Q$2:$Q$40,0)),"")</f>
        <v>29 Aug 2026</v>
      </c>
      <c r="E30" s="10" t="n">
        <f aca="false">IFERROR(INDEX('Master data'!E$2:E$40,MATCH("Matched|"&amp;(ROW()-1),'Master data'!$Q$2:$Q$40,0)),"")</f>
        <v>7075</v>
      </c>
      <c r="F30" s="10" t="n">
        <f aca="false">IFERROR(INDEX('Master data'!F$2:F$40,MATCH("Matched|"&amp;(ROW()-1),'Master data'!$Q$2:$Q$40,0)),"")</f>
        <v>0</v>
      </c>
      <c r="G30" s="10" t="n">
        <f aca="false">IFERROR(INDEX('Master data'!G$2:G$40,MATCH("Matched|"&amp;(ROW()-1),'Master data'!$Q$2:$Q$40,0)),"")</f>
        <v>636.75</v>
      </c>
      <c r="H30" s="10" t="n">
        <f aca="false">IFERROR(INDEX('Master data'!H$2:H$40,MATCH("Matched|"&amp;(ROW()-1),'Master data'!$Q$2:$Q$40,0)),"")</f>
        <v>636.75</v>
      </c>
      <c r="I30" s="10" t="n">
        <f aca="false">IFERROR(INDEX('Master data'!I$2:I$40,MATCH("Matched|"&amp;(ROW()-1),'Master data'!$Q$2:$Q$40,0)),"")</f>
        <v>0</v>
      </c>
      <c r="J30" s="10" t="n">
        <f aca="false">IFERROR(INDEX('Master data'!J$2:J$40,MATCH("Matched|"&amp;(ROW()-1),'Master data'!$Q$2:$Q$40,0)),"")</f>
        <v>1273.5</v>
      </c>
      <c r="K30" s="10" t="n">
        <f aca="false">IFERROR(INDEX('Master data'!K$2:K$40,MATCH("Matched|"&amp;(ROW()-1),'Master data'!$Q$2:$Q$40,0)),"")</f>
        <v>8349</v>
      </c>
      <c r="L30" s="9" t="str">
        <f aca="false">IFERROR(INDEX('Master data'!L$2:L$40,MATCH("Matched|"&amp;(ROW()-1),'Master data'!$Q$2:$Q$40,0)),"")</f>
        <v>Matched</v>
      </c>
      <c r="M30" s="9" t="str">
        <f aca="false">IFERROR(INDEX('Master data'!M$2:M$40,MATCH("Matched|"&amp;(ROW()-1),'Master data'!$Q$2:$Q$40,0)),"")</f>
        <v>Not reviewed</v>
      </c>
      <c r="N30" s="9" t="n">
        <f aca="false">IFERROR(INDEX('Master data'!N$2:N$40,MATCH("Matched|"&amp;(ROW()-1),'Master data'!$Q$2:$Q$40,0)),"")</f>
        <v>0</v>
      </c>
      <c r="O30" s="9" t="str">
        <f aca="false">IFERROR(INDEX('Master data'!O$2:O$40,MATCH("Matched|"&amp;(ROW()-1),'Master data'!$Q$2:$Q$40,0)),"")</f>
        <v>High — 98%</v>
      </c>
      <c r="P30" s="11" t="str">
        <f aca="false">IFERROR(INDEX('Master data'!P$2:P$40,MATCH("Matched|"&amp;(ROW()-1),'Master data'!$Q$2:$Q$40,0)),"")</f>
        <v>Matched on: GSTIN 07AAXFS9006M1ZC, invoice 'T15076' (books) / 'T15076/26-27' (portal); taxable value, CGST, SGST, IGST and cess all agree.</v>
      </c>
    </row>
    <row r="31" customFormat="false" ht="76.1" hidden="false" customHeight="false" outlineLevel="0" collapsed="false">
      <c r="A31" s="9" t="str">
        <f aca="false">IFERROR(INDEX('Master data'!A$2:A$40,MATCH("Matched|"&amp;(ROW()-1),'Master data'!$Q$2:$Q$40,0)),"")</f>
        <v>SURAJ BHAN SUNIL KUMAR &amp;CO.</v>
      </c>
      <c r="B31" s="9" t="str">
        <f aca="false">IFERROR(INDEX('Master data'!B$2:B$40,MATCH("Matched|"&amp;(ROW()-1),'Master data'!$Q$2:$Q$40,0)),"")</f>
        <v>07AAXFS9006M1ZC</v>
      </c>
      <c r="C31" s="9" t="str">
        <f aca="false">IFERROR(INDEX('Master data'!C$2:C$40,MATCH("Matched|"&amp;(ROW()-1),'Master data'!$Q$2:$Q$40,0)),"")</f>
        <v>T15093</v>
      </c>
      <c r="D31" s="9" t="str">
        <f aca="false">IFERROR(INDEX('Master data'!D$2:D$40,MATCH("Matched|"&amp;(ROW()-1),'Master data'!$Q$2:$Q$40,0)),"")</f>
        <v>29 Aug 2026</v>
      </c>
      <c r="E31" s="10" t="n">
        <f aca="false">IFERROR(INDEX('Master data'!E$2:E$40,MATCH("Matched|"&amp;(ROW()-1),'Master data'!$Q$2:$Q$40,0)),"")</f>
        <v>17355</v>
      </c>
      <c r="F31" s="10" t="n">
        <f aca="false">IFERROR(INDEX('Master data'!F$2:F$40,MATCH("Matched|"&amp;(ROW()-1),'Master data'!$Q$2:$Q$40,0)),"")</f>
        <v>0</v>
      </c>
      <c r="G31" s="10" t="n">
        <f aca="false">IFERROR(INDEX('Master data'!G$2:G$40,MATCH("Matched|"&amp;(ROW()-1),'Master data'!$Q$2:$Q$40,0)),"")</f>
        <v>1561.95</v>
      </c>
      <c r="H31" s="10" t="n">
        <f aca="false">IFERROR(INDEX('Master data'!H$2:H$40,MATCH("Matched|"&amp;(ROW()-1),'Master data'!$Q$2:$Q$40,0)),"")</f>
        <v>1561.95</v>
      </c>
      <c r="I31" s="10" t="n">
        <f aca="false">IFERROR(INDEX('Master data'!I$2:I$40,MATCH("Matched|"&amp;(ROW()-1),'Master data'!$Q$2:$Q$40,0)),"")</f>
        <v>0</v>
      </c>
      <c r="J31" s="10" t="n">
        <f aca="false">IFERROR(INDEX('Master data'!J$2:J$40,MATCH("Matched|"&amp;(ROW()-1),'Master data'!$Q$2:$Q$40,0)),"")</f>
        <v>3123.9</v>
      </c>
      <c r="K31" s="10" t="n">
        <f aca="false">IFERROR(INDEX('Master data'!K$2:K$40,MATCH("Matched|"&amp;(ROW()-1),'Master data'!$Q$2:$Q$40,0)),"")</f>
        <v>20479</v>
      </c>
      <c r="L31" s="9" t="str">
        <f aca="false">IFERROR(INDEX('Master data'!L$2:L$40,MATCH("Matched|"&amp;(ROW()-1),'Master data'!$Q$2:$Q$40,0)),"")</f>
        <v>Matched</v>
      </c>
      <c r="M31" s="9" t="str">
        <f aca="false">IFERROR(INDEX('Master data'!M$2:M$40,MATCH("Matched|"&amp;(ROW()-1),'Master data'!$Q$2:$Q$40,0)),"")</f>
        <v>Not reviewed</v>
      </c>
      <c r="N31" s="9" t="n">
        <f aca="false">IFERROR(INDEX('Master data'!N$2:N$40,MATCH("Matched|"&amp;(ROW()-1),'Master data'!$Q$2:$Q$40,0)),"")</f>
        <v>0</v>
      </c>
      <c r="O31" s="9" t="str">
        <f aca="false">IFERROR(INDEX('Master data'!O$2:O$40,MATCH("Matched|"&amp;(ROW()-1),'Master data'!$Q$2:$Q$40,0)),"")</f>
        <v>High — 98%</v>
      </c>
      <c r="P31" s="11" t="str">
        <f aca="false">IFERROR(INDEX('Master data'!P$2:P$40,MATCH("Matched|"&amp;(ROW()-1),'Master data'!$Q$2:$Q$40,0)),"")</f>
        <v>Matched on: GSTIN 07AAXFS9006M1ZC, invoice 'T15093' (books) / 'T15093/26-27' (portal); taxable value, CGST, SGST, IGST and cess all agree.</v>
      </c>
    </row>
    <row r="32" customFormat="false" ht="76.1" hidden="false" customHeight="false" outlineLevel="0" collapsed="false">
      <c r="A32" s="9" t="str">
        <f aca="false">IFERROR(INDEX('Master data'!A$2:A$40,MATCH("Matched|"&amp;(ROW()-1),'Master data'!$Q$2:$Q$40,0)),"")</f>
        <v>SURAJ BHAN SUNIL KUMAR &amp;CO.</v>
      </c>
      <c r="B32" s="9" t="str">
        <f aca="false">IFERROR(INDEX('Master data'!B$2:B$40,MATCH("Matched|"&amp;(ROW()-1),'Master data'!$Q$2:$Q$40,0)),"")</f>
        <v>07AAXFS9006M1ZC</v>
      </c>
      <c r="C32" s="9" t="str">
        <f aca="false">IFERROR(INDEX('Master data'!C$2:C$40,MATCH("Matched|"&amp;(ROW()-1),'Master data'!$Q$2:$Q$40,0)),"")</f>
        <v>T15145</v>
      </c>
      <c r="D32" s="9" t="str">
        <f aca="false">IFERROR(INDEX('Master data'!D$2:D$40,MATCH("Matched|"&amp;(ROW()-1),'Master data'!$Q$2:$Q$40,0)),"")</f>
        <v>31 Aug 2026</v>
      </c>
      <c r="E32" s="10" t="n">
        <f aca="false">IFERROR(INDEX('Master data'!E$2:E$40,MATCH("Matched|"&amp;(ROW()-1),'Master data'!$Q$2:$Q$40,0)),"")</f>
        <v>18985</v>
      </c>
      <c r="F32" s="10" t="n">
        <f aca="false">IFERROR(INDEX('Master data'!F$2:F$40,MATCH("Matched|"&amp;(ROW()-1),'Master data'!$Q$2:$Q$40,0)),"")</f>
        <v>0</v>
      </c>
      <c r="G32" s="10" t="n">
        <f aca="false">IFERROR(INDEX('Master data'!G$2:G$40,MATCH("Matched|"&amp;(ROW()-1),'Master data'!$Q$2:$Q$40,0)),"")</f>
        <v>1708.65</v>
      </c>
      <c r="H32" s="10" t="n">
        <f aca="false">IFERROR(INDEX('Master data'!H$2:H$40,MATCH("Matched|"&amp;(ROW()-1),'Master data'!$Q$2:$Q$40,0)),"")</f>
        <v>1708.65</v>
      </c>
      <c r="I32" s="10" t="n">
        <f aca="false">IFERROR(INDEX('Master data'!I$2:I$40,MATCH("Matched|"&amp;(ROW()-1),'Master data'!$Q$2:$Q$40,0)),"")</f>
        <v>0</v>
      </c>
      <c r="J32" s="10" t="n">
        <f aca="false">IFERROR(INDEX('Master data'!J$2:J$40,MATCH("Matched|"&amp;(ROW()-1),'Master data'!$Q$2:$Q$40,0)),"")</f>
        <v>3417.3</v>
      </c>
      <c r="K32" s="10" t="n">
        <f aca="false">IFERROR(INDEX('Master data'!K$2:K$40,MATCH("Matched|"&amp;(ROW()-1),'Master data'!$Q$2:$Q$40,0)),"")</f>
        <v>22402</v>
      </c>
      <c r="L32" s="9" t="str">
        <f aca="false">IFERROR(INDEX('Master data'!L$2:L$40,MATCH("Matched|"&amp;(ROW()-1),'Master data'!$Q$2:$Q$40,0)),"")</f>
        <v>Matched</v>
      </c>
      <c r="M32" s="9" t="str">
        <f aca="false">IFERROR(INDEX('Master data'!M$2:M$40,MATCH("Matched|"&amp;(ROW()-1),'Master data'!$Q$2:$Q$40,0)),"")</f>
        <v>Not reviewed</v>
      </c>
      <c r="N32" s="9" t="n">
        <f aca="false">IFERROR(INDEX('Master data'!N$2:N$40,MATCH("Matched|"&amp;(ROW()-1),'Master data'!$Q$2:$Q$40,0)),"")</f>
        <v>0</v>
      </c>
      <c r="O32" s="9" t="str">
        <f aca="false">IFERROR(INDEX('Master data'!O$2:O$40,MATCH("Matched|"&amp;(ROW()-1),'Master data'!$Q$2:$Q$40,0)),"")</f>
        <v>High — 98%</v>
      </c>
      <c r="P32" s="11" t="str">
        <f aca="false">IFERROR(INDEX('Master data'!P$2:P$40,MATCH("Matched|"&amp;(ROW()-1),'Master data'!$Q$2:$Q$40,0)),"")</f>
        <v>Matched on: GSTIN 07AAXFS9006M1ZC, invoice 'T15145' (books) / 'T15145/26-27' (portal); taxable value, CGST, SGST, IGST and cess all agree.</v>
      </c>
    </row>
    <row r="33" customFormat="false" ht="76.1" hidden="false" customHeight="false" outlineLevel="0" collapsed="false">
      <c r="A33" s="9" t="str">
        <f aca="false">IFERROR(INDEX('Master data'!A$2:A$40,MATCH("Matched|"&amp;(ROW()-1),'Master data'!$Q$2:$Q$40,0)),"")</f>
        <v>SURAJ BHAN SUNIL KUMAR &amp;CO.</v>
      </c>
      <c r="B33" s="9" t="str">
        <f aca="false">IFERROR(INDEX('Master data'!B$2:B$40,MATCH("Matched|"&amp;(ROW()-1),'Master data'!$Q$2:$Q$40,0)),"")</f>
        <v>07AAXFS9006M1ZC</v>
      </c>
      <c r="C33" s="9" t="str">
        <f aca="false">IFERROR(INDEX('Master data'!C$2:C$40,MATCH("Matched|"&amp;(ROW()-1),'Master data'!$Q$2:$Q$40,0)),"")</f>
        <v>T15157</v>
      </c>
      <c r="D33" s="9" t="str">
        <f aca="false">IFERROR(INDEX('Master data'!D$2:D$40,MATCH("Matched|"&amp;(ROW()-1),'Master data'!$Q$2:$Q$40,0)),"")</f>
        <v>31 Aug 2026</v>
      </c>
      <c r="E33" s="10" t="n">
        <f aca="false">IFERROR(INDEX('Master data'!E$2:E$40,MATCH("Matched|"&amp;(ROW()-1),'Master data'!$Q$2:$Q$40,0)),"")</f>
        <v>17600</v>
      </c>
      <c r="F33" s="10" t="n">
        <f aca="false">IFERROR(INDEX('Master data'!F$2:F$40,MATCH("Matched|"&amp;(ROW()-1),'Master data'!$Q$2:$Q$40,0)),"")</f>
        <v>0</v>
      </c>
      <c r="G33" s="10" t="n">
        <f aca="false">IFERROR(INDEX('Master data'!G$2:G$40,MATCH("Matched|"&amp;(ROW()-1),'Master data'!$Q$2:$Q$40,0)),"")</f>
        <v>1584</v>
      </c>
      <c r="H33" s="10" t="n">
        <f aca="false">IFERROR(INDEX('Master data'!H$2:H$40,MATCH("Matched|"&amp;(ROW()-1),'Master data'!$Q$2:$Q$40,0)),"")</f>
        <v>1584</v>
      </c>
      <c r="I33" s="10" t="n">
        <f aca="false">IFERROR(INDEX('Master data'!I$2:I$40,MATCH("Matched|"&amp;(ROW()-1),'Master data'!$Q$2:$Q$40,0)),"")</f>
        <v>0</v>
      </c>
      <c r="J33" s="10" t="n">
        <f aca="false">IFERROR(INDEX('Master data'!J$2:J$40,MATCH("Matched|"&amp;(ROW()-1),'Master data'!$Q$2:$Q$40,0)),"")</f>
        <v>3168</v>
      </c>
      <c r="K33" s="10" t="n">
        <f aca="false">IFERROR(INDEX('Master data'!K$2:K$40,MATCH("Matched|"&amp;(ROW()-1),'Master data'!$Q$2:$Q$40,0)),"")</f>
        <v>20768</v>
      </c>
      <c r="L33" s="9" t="str">
        <f aca="false">IFERROR(INDEX('Master data'!L$2:L$40,MATCH("Matched|"&amp;(ROW()-1),'Master data'!$Q$2:$Q$40,0)),"")</f>
        <v>Matched</v>
      </c>
      <c r="M33" s="9" t="str">
        <f aca="false">IFERROR(INDEX('Master data'!M$2:M$40,MATCH("Matched|"&amp;(ROW()-1),'Master data'!$Q$2:$Q$40,0)),"")</f>
        <v>Not reviewed</v>
      </c>
      <c r="N33" s="9" t="n">
        <f aca="false">IFERROR(INDEX('Master data'!N$2:N$40,MATCH("Matched|"&amp;(ROW()-1),'Master data'!$Q$2:$Q$40,0)),"")</f>
        <v>0</v>
      </c>
      <c r="O33" s="9" t="str">
        <f aca="false">IFERROR(INDEX('Master data'!O$2:O$40,MATCH("Matched|"&amp;(ROW()-1),'Master data'!$Q$2:$Q$40,0)),"")</f>
        <v>High — 98%</v>
      </c>
      <c r="P33" s="11" t="str">
        <f aca="false">IFERROR(INDEX('Master data'!P$2:P$40,MATCH("Matched|"&amp;(ROW()-1),'Master data'!$Q$2:$Q$40,0)),"")</f>
        <v>Matched on: GSTIN 07AAXFS9006M1ZC, invoice 'T15157' (books) / 'T15157/26-27' (portal); taxable value, CGST, SGST, IGST and cess all agree.</v>
      </c>
    </row>
    <row r="34" customFormat="false" ht="76.1" hidden="false" customHeight="false" outlineLevel="0" collapsed="false">
      <c r="A34" s="9" t="str">
        <f aca="false">IFERROR(INDEX('Master data'!A$2:A$40,MATCH("Matched|"&amp;(ROW()-1),'Master data'!$Q$2:$Q$40,0)),"")</f>
        <v>SURAJ BHAN SUNIL KUMAR &amp;CO.</v>
      </c>
      <c r="B34" s="9" t="str">
        <f aca="false">IFERROR(INDEX('Master data'!B$2:B$40,MATCH("Matched|"&amp;(ROW()-1),'Master data'!$Q$2:$Q$40,0)),"")</f>
        <v>07AAXFS9006M1ZC</v>
      </c>
      <c r="C34" s="9" t="str">
        <f aca="false">IFERROR(INDEX('Master data'!C$2:C$40,MATCH("Matched|"&amp;(ROW()-1),'Master data'!$Q$2:$Q$40,0)),"")</f>
        <v>T15158</v>
      </c>
      <c r="D34" s="9" t="str">
        <f aca="false">IFERROR(INDEX('Master data'!D$2:D$40,MATCH("Matched|"&amp;(ROW()-1),'Master data'!$Q$2:$Q$40,0)),"")</f>
        <v>31 Aug 2026</v>
      </c>
      <c r="E34" s="10" t="n">
        <f aca="false">IFERROR(INDEX('Master data'!E$2:E$40,MATCH("Matched|"&amp;(ROW()-1),'Master data'!$Q$2:$Q$40,0)),"")</f>
        <v>32685</v>
      </c>
      <c r="F34" s="10" t="n">
        <f aca="false">IFERROR(INDEX('Master data'!F$2:F$40,MATCH("Matched|"&amp;(ROW()-1),'Master data'!$Q$2:$Q$40,0)),"")</f>
        <v>0</v>
      </c>
      <c r="G34" s="10" t="n">
        <f aca="false">IFERROR(INDEX('Master data'!G$2:G$40,MATCH("Matched|"&amp;(ROW()-1),'Master data'!$Q$2:$Q$40,0)),"")</f>
        <v>2549.7</v>
      </c>
      <c r="H34" s="10" t="n">
        <f aca="false">IFERROR(INDEX('Master data'!H$2:H$40,MATCH("Matched|"&amp;(ROW()-1),'Master data'!$Q$2:$Q$40,0)),"")</f>
        <v>2549.7</v>
      </c>
      <c r="I34" s="10" t="n">
        <f aca="false">IFERROR(INDEX('Master data'!I$2:I$40,MATCH("Matched|"&amp;(ROW()-1),'Master data'!$Q$2:$Q$40,0)),"")</f>
        <v>0</v>
      </c>
      <c r="J34" s="10" t="n">
        <f aca="false">IFERROR(INDEX('Master data'!J$2:J$40,MATCH("Matched|"&amp;(ROW()-1),'Master data'!$Q$2:$Q$40,0)),"")</f>
        <v>5099.4</v>
      </c>
      <c r="K34" s="10" t="n">
        <f aca="false">IFERROR(INDEX('Master data'!K$2:K$40,MATCH("Matched|"&amp;(ROW()-1),'Master data'!$Q$2:$Q$40,0)),"")</f>
        <v>37784</v>
      </c>
      <c r="L34" s="9" t="str">
        <f aca="false">IFERROR(INDEX('Master data'!L$2:L$40,MATCH("Matched|"&amp;(ROW()-1),'Master data'!$Q$2:$Q$40,0)),"")</f>
        <v>Matched</v>
      </c>
      <c r="M34" s="9" t="str">
        <f aca="false">IFERROR(INDEX('Master data'!M$2:M$40,MATCH("Matched|"&amp;(ROW()-1),'Master data'!$Q$2:$Q$40,0)),"")</f>
        <v>Not reviewed</v>
      </c>
      <c r="N34" s="9" t="n">
        <f aca="false">IFERROR(INDEX('Master data'!N$2:N$40,MATCH("Matched|"&amp;(ROW()-1),'Master data'!$Q$2:$Q$40,0)),"")</f>
        <v>0</v>
      </c>
      <c r="O34" s="9" t="str">
        <f aca="false">IFERROR(INDEX('Master data'!O$2:O$40,MATCH("Matched|"&amp;(ROW()-1),'Master data'!$Q$2:$Q$40,0)),"")</f>
        <v>High — 98%</v>
      </c>
      <c r="P34" s="11" t="str">
        <f aca="false">IFERROR(INDEX('Master data'!P$2:P$40,MATCH("Matched|"&amp;(ROW()-1),'Master data'!$Q$2:$Q$40,0)),"")</f>
        <v>Matched on: GSTIN 07AAXFS9006M1ZC, invoice 'T15158' (books) / 'T15158/26-27' (portal); taxable value, CGST, SGST, IGST and cess all agree.</v>
      </c>
    </row>
    <row r="35" customFormat="false" ht="76.1" hidden="false" customHeight="false" outlineLevel="0" collapsed="false">
      <c r="A35" s="9" t="str">
        <f aca="false">IFERROR(INDEX('Master data'!A$2:A$40,MATCH("Matched|"&amp;(ROW()-1),'Master data'!$Q$2:$Q$40,0)),"")</f>
        <v>SURAJ BHAN SUNIL KUMAR &amp;CO.</v>
      </c>
      <c r="B35" s="9" t="str">
        <f aca="false">IFERROR(INDEX('Master data'!B$2:B$40,MATCH("Matched|"&amp;(ROW()-1),'Master data'!$Q$2:$Q$40,0)),"")</f>
        <v>07AAXFS9006M1ZC</v>
      </c>
      <c r="C35" s="9" t="str">
        <f aca="false">IFERROR(INDEX('Master data'!C$2:C$40,MATCH("Matched|"&amp;(ROW()-1),'Master data'!$Q$2:$Q$40,0)),"")</f>
        <v>T15176</v>
      </c>
      <c r="D35" s="9" t="str">
        <f aca="false">IFERROR(INDEX('Master data'!D$2:D$40,MATCH("Matched|"&amp;(ROW()-1),'Master data'!$Q$2:$Q$40,0)),"")</f>
        <v>31 Aug 2026</v>
      </c>
      <c r="E35" s="10" t="n">
        <f aca="false">IFERROR(INDEX('Master data'!E$2:E$40,MATCH("Matched|"&amp;(ROW()-1),'Master data'!$Q$2:$Q$40,0)),"")</f>
        <v>23485</v>
      </c>
      <c r="F35" s="10" t="n">
        <f aca="false">IFERROR(INDEX('Master data'!F$2:F$40,MATCH("Matched|"&amp;(ROW()-1),'Master data'!$Q$2:$Q$40,0)),"")</f>
        <v>0</v>
      </c>
      <c r="G35" s="10" t="n">
        <f aca="false">IFERROR(INDEX('Master data'!G$2:G$40,MATCH("Matched|"&amp;(ROW()-1),'Master data'!$Q$2:$Q$40,0)),"")</f>
        <v>2113.65</v>
      </c>
      <c r="H35" s="10" t="n">
        <f aca="false">IFERROR(INDEX('Master data'!H$2:H$40,MATCH("Matched|"&amp;(ROW()-1),'Master data'!$Q$2:$Q$40,0)),"")</f>
        <v>2113.65</v>
      </c>
      <c r="I35" s="10" t="n">
        <f aca="false">IFERROR(INDEX('Master data'!I$2:I$40,MATCH("Matched|"&amp;(ROW()-1),'Master data'!$Q$2:$Q$40,0)),"")</f>
        <v>0</v>
      </c>
      <c r="J35" s="10" t="n">
        <f aca="false">IFERROR(INDEX('Master data'!J$2:J$40,MATCH("Matched|"&amp;(ROW()-1),'Master data'!$Q$2:$Q$40,0)),"")</f>
        <v>4227.3</v>
      </c>
      <c r="K35" s="10" t="n">
        <f aca="false">IFERROR(INDEX('Master data'!K$2:K$40,MATCH("Matched|"&amp;(ROW()-1),'Master data'!$Q$2:$Q$40,0)),"")</f>
        <v>27712</v>
      </c>
      <c r="L35" s="9" t="str">
        <f aca="false">IFERROR(INDEX('Master data'!L$2:L$40,MATCH("Matched|"&amp;(ROW()-1),'Master data'!$Q$2:$Q$40,0)),"")</f>
        <v>Matched</v>
      </c>
      <c r="M35" s="9" t="str">
        <f aca="false">IFERROR(INDEX('Master data'!M$2:M$40,MATCH("Matched|"&amp;(ROW()-1),'Master data'!$Q$2:$Q$40,0)),"")</f>
        <v>Not reviewed</v>
      </c>
      <c r="N35" s="9" t="n">
        <f aca="false">IFERROR(INDEX('Master data'!N$2:N$40,MATCH("Matched|"&amp;(ROW()-1),'Master data'!$Q$2:$Q$40,0)),"")</f>
        <v>0</v>
      </c>
      <c r="O35" s="9" t="str">
        <f aca="false">IFERROR(INDEX('Master data'!O$2:O$40,MATCH("Matched|"&amp;(ROW()-1),'Master data'!$Q$2:$Q$40,0)),"")</f>
        <v>High — 98%</v>
      </c>
      <c r="P35" s="11" t="str">
        <f aca="false">IFERROR(INDEX('Master data'!P$2:P$40,MATCH("Matched|"&amp;(ROW()-1),'Master data'!$Q$2:$Q$40,0)),"")</f>
        <v>Matched on: GSTIN 07AAXFS9006M1ZC, invoice 'T15176' (books) / 'T15176/26-27' (portal); taxable value, CGST, SGST, IGST and cess all agree.</v>
      </c>
    </row>
    <row r="36" customFormat="false" ht="76.1" hidden="false" customHeight="false" outlineLevel="0" collapsed="false">
      <c r="A36" s="9" t="str">
        <f aca="false">IFERROR(INDEX('Master data'!A$2:A$40,MATCH("Matched|"&amp;(ROW()-1),'Master data'!$Q$2:$Q$40,0)),"")</f>
        <v>SURAJ BHAN SUNIL KUMAR &amp;CO.</v>
      </c>
      <c r="B36" s="9" t="str">
        <f aca="false">IFERROR(INDEX('Master data'!B$2:B$40,MATCH("Matched|"&amp;(ROW()-1),'Master data'!$Q$2:$Q$40,0)),"")</f>
        <v>07AAXFS9006M1ZC</v>
      </c>
      <c r="C36" s="9" t="str">
        <f aca="false">IFERROR(INDEX('Master data'!C$2:C$40,MATCH("Matched|"&amp;(ROW()-1),'Master data'!$Q$2:$Q$40,0)),"")</f>
        <v>T15254</v>
      </c>
      <c r="D36" s="9" t="str">
        <f aca="false">IFERROR(INDEX('Master data'!D$2:D$40,MATCH("Matched|"&amp;(ROW()-1),'Master data'!$Q$2:$Q$40,0)),"")</f>
        <v>31 Aug 2026</v>
      </c>
      <c r="E36" s="10" t="n">
        <f aca="false">IFERROR(INDEX('Master data'!E$2:E$40,MATCH("Matched|"&amp;(ROW()-1),'Master data'!$Q$2:$Q$40,0)),"")</f>
        <v>38440</v>
      </c>
      <c r="F36" s="10" t="n">
        <f aca="false">IFERROR(INDEX('Master data'!F$2:F$40,MATCH("Matched|"&amp;(ROW()-1),'Master data'!$Q$2:$Q$40,0)),"")</f>
        <v>0</v>
      </c>
      <c r="G36" s="10" t="n">
        <f aca="false">IFERROR(INDEX('Master data'!G$2:G$40,MATCH("Matched|"&amp;(ROW()-1),'Master data'!$Q$2:$Q$40,0)),"")</f>
        <v>3459.6</v>
      </c>
      <c r="H36" s="10" t="n">
        <f aca="false">IFERROR(INDEX('Master data'!H$2:H$40,MATCH("Matched|"&amp;(ROW()-1),'Master data'!$Q$2:$Q$40,0)),"")</f>
        <v>3459.6</v>
      </c>
      <c r="I36" s="10" t="n">
        <f aca="false">IFERROR(INDEX('Master data'!I$2:I$40,MATCH("Matched|"&amp;(ROW()-1),'Master data'!$Q$2:$Q$40,0)),"")</f>
        <v>0</v>
      </c>
      <c r="J36" s="10" t="n">
        <f aca="false">IFERROR(INDEX('Master data'!J$2:J$40,MATCH("Matched|"&amp;(ROW()-1),'Master data'!$Q$2:$Q$40,0)),"")</f>
        <v>6919.2</v>
      </c>
      <c r="K36" s="10" t="n">
        <f aca="false">IFERROR(INDEX('Master data'!K$2:K$40,MATCH("Matched|"&amp;(ROW()-1),'Master data'!$Q$2:$Q$40,0)),"")</f>
        <v>45359</v>
      </c>
      <c r="L36" s="9" t="str">
        <f aca="false">IFERROR(INDEX('Master data'!L$2:L$40,MATCH("Matched|"&amp;(ROW()-1),'Master data'!$Q$2:$Q$40,0)),"")</f>
        <v>Matched</v>
      </c>
      <c r="M36" s="9" t="str">
        <f aca="false">IFERROR(INDEX('Master data'!M$2:M$40,MATCH("Matched|"&amp;(ROW()-1),'Master data'!$Q$2:$Q$40,0)),"")</f>
        <v>Not reviewed</v>
      </c>
      <c r="N36" s="9" t="n">
        <f aca="false">IFERROR(INDEX('Master data'!N$2:N$40,MATCH("Matched|"&amp;(ROW()-1),'Master data'!$Q$2:$Q$40,0)),"")</f>
        <v>0</v>
      </c>
      <c r="O36" s="9" t="str">
        <f aca="false">IFERROR(INDEX('Master data'!O$2:O$40,MATCH("Matched|"&amp;(ROW()-1),'Master data'!$Q$2:$Q$40,0)),"")</f>
        <v>High — 98%</v>
      </c>
      <c r="P36" s="11" t="str">
        <f aca="false">IFERROR(INDEX('Master data'!P$2:P$40,MATCH("Matched|"&amp;(ROW()-1),'Master data'!$Q$2:$Q$40,0)),"")</f>
        <v>Matched on: GSTIN 07AAXFS9006M1ZC, invoice 'T15254' (books) / 'T15254/26-27' (portal); taxable value, CGST, SGST, IGST and cess all agree.</v>
      </c>
    </row>
    <row r="37" customFormat="false" ht="15" hidden="false" customHeight="false" outlineLevel="0" collapsed="false">
      <c r="A37" s="2" t="s">
        <v>26</v>
      </c>
      <c r="E37" s="15" t="n">
        <f aca="false">SUM(E2:E36)</f>
        <v>722707</v>
      </c>
      <c r="F37" s="15" t="n">
        <f aca="false">SUM(F2:F36)</f>
        <v>4204.7</v>
      </c>
      <c r="G37" s="15" t="n">
        <f aca="false">SUM(G2:G36)</f>
        <v>47154.38</v>
      </c>
      <c r="H37" s="15" t="n">
        <f aca="false">SUM(H2:H36)</f>
        <v>47154.38</v>
      </c>
      <c r="I37" s="15" t="n">
        <f aca="false">SUM(I2:I36)</f>
        <v>0</v>
      </c>
      <c r="J37" s="15" t="n">
        <f aca="false">SUM(J2:J36)</f>
        <v>98513.46</v>
      </c>
      <c r="K37" s="15" t="n">
        <f aca="false">SUM(K2:K36)</f>
        <v>821221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23</v>
      </c>
      <c r="K1" s="7" t="s">
        <v>24</v>
      </c>
      <c r="L1" s="7" t="s">
        <v>21</v>
      </c>
      <c r="M1" s="7" t="s">
        <v>69</v>
      </c>
      <c r="N1" s="7" t="s">
        <v>70</v>
      </c>
      <c r="O1" s="7" t="s">
        <v>71</v>
      </c>
      <c r="P1" s="7" t="s">
        <v>72</v>
      </c>
    </row>
    <row r="2" customFormat="false" ht="76.1" hidden="false" customHeight="false" outlineLevel="0" collapsed="false">
      <c r="A2" s="12" t="str">
        <f aca="false">IFERROR(INDEX('Master data'!A$2:A$40,MATCH("Not in Books|"&amp;(ROW()-1),'Master data'!$Q$2:$Q$40,0)),"")</f>
        <v>Bharti Airtel Limited</v>
      </c>
      <c r="B2" s="12" t="str">
        <f aca="false">IFERROR(INDEX('Master data'!B$2:B$40,MATCH("Not in Books|"&amp;(ROW()-1),'Master data'!$Q$2:$Q$40,0)),"")</f>
        <v>07AAACB2894G1ZP</v>
      </c>
      <c r="C2" s="12" t="str">
        <f aca="false">IFERROR(INDEX('Master data'!C$2:C$40,MATCH("Not in Books|"&amp;(ROW()-1),'Master data'!$Q$2:$Q$40,0)),"")</f>
        <v>HF2707I005456843</v>
      </c>
      <c r="D2" s="12" t="str">
        <f aca="false">IFERROR(INDEX('Master data'!D$2:D$40,MATCH("Not in Books|"&amp;(ROW()-1),'Master data'!$Q$2:$Q$40,0)),"")</f>
        <v>06 Aug 2026</v>
      </c>
      <c r="E2" s="13" t="n">
        <f aca="false">IFERROR(INDEX('Master data'!E$2:E$40,MATCH("Not in Books|"&amp;(ROW()-1),'Master data'!$Q$2:$Q$40,0)),"")</f>
        <v>599</v>
      </c>
      <c r="F2" s="13" t="n">
        <f aca="false">IFERROR(INDEX('Master data'!F$2:F$40,MATCH("Not in Books|"&amp;(ROW()-1),'Master data'!$Q$2:$Q$40,0)),"")</f>
        <v>0</v>
      </c>
      <c r="G2" s="13" t="n">
        <f aca="false">IFERROR(INDEX('Master data'!G$2:G$40,MATCH("Not in Books|"&amp;(ROW()-1),'Master data'!$Q$2:$Q$40,0)),"")</f>
        <v>53.91</v>
      </c>
      <c r="H2" s="13" t="n">
        <f aca="false">IFERROR(INDEX('Master data'!H$2:H$40,MATCH("Not in Books|"&amp;(ROW()-1),'Master data'!$Q$2:$Q$40,0)),"")</f>
        <v>53.91</v>
      </c>
      <c r="I2" s="13" t="n">
        <f aca="false">IFERROR(INDEX('Master data'!I$2:I$40,MATCH("Not in Books|"&amp;(ROW()-1),'Master data'!$Q$2:$Q$40,0)),"")</f>
        <v>0</v>
      </c>
      <c r="J2" s="13" t="n">
        <f aca="false">IFERROR(INDEX('Master data'!J$2:J$40,MATCH("Not in Books|"&amp;(ROW()-1),'Master data'!$Q$2:$Q$40,0)),"")</f>
        <v>107.82</v>
      </c>
      <c r="K2" s="13" t="n">
        <f aca="false">IFERROR(INDEX('Master data'!K$2:K$40,MATCH("Not in Books|"&amp;(ROW()-1),'Master data'!$Q$2:$Q$40,0)),"")</f>
        <v>706.82</v>
      </c>
      <c r="L2" s="12" t="str">
        <f aca="false">IFERROR(INDEX('Master data'!L$2:L$40,MATCH("Not in Books|"&amp;(ROW()-1),'Master data'!$Q$2:$Q$40,0)),"")</f>
        <v>Not in Books</v>
      </c>
      <c r="M2" s="12" t="str">
        <f aca="false">IFERROR(INDEX('Master data'!M$2:M$40,MATCH("Not in Books|"&amp;(ROW()-1),'Master data'!$Q$2:$Q$40,0)),"")</f>
        <v>Reviewed</v>
      </c>
      <c r="N2" s="12" t="n">
        <f aca="false">IFERROR(INDEX('Master data'!N$2:N$40,MATCH("Not in Books|"&amp;(ROW()-1),'Master data'!$Q$2:$Q$40,0)),"")</f>
        <v>0</v>
      </c>
      <c r="O2" s="12" t="str">
        <f aca="false">IFERROR(INDEX('Master data'!O$2:O$40,MATCH("Not in Books|"&amp;(ROW()-1),'Master data'!$Q$2:$Q$40,0)),"")</f>
        <v>Low — 0%</v>
      </c>
      <c r="P2" s="14" t="str">
        <f aca="false">IFERROR(INDEX('Master data'!P$2:P$40,MATCH("Not in Books|"&amp;(ROW()-1),'Master data'!$Q$2:$Q$40,0)),"")</f>
        <v>Not in Books: GSTIN 07AAACB2894G1ZP, invoice HF2707I005456843, ₹706.82 — no matching book entry found across any pass.</v>
      </c>
    </row>
    <row r="3" customFormat="false" ht="76.1" hidden="false" customHeight="false" outlineLevel="0" collapsed="false">
      <c r="A3" s="12" t="str">
        <f aca="false">IFERROR(INDEX('Master data'!A$2:A$40,MATCH("Not in Books|"&amp;(ROW()-1),'Master data'!$Q$2:$Q$40,0)),"")</f>
        <v>central bank of india</v>
      </c>
      <c r="B3" s="12" t="str">
        <f aca="false">IFERROR(INDEX('Master data'!B$2:B$40,MATCH("Not in Books|"&amp;(ROW()-1),'Master data'!$Q$2:$Q$40,0)),"")</f>
        <v>07AAACC2498P1Z5</v>
      </c>
      <c r="C3" s="12" t="str">
        <f aca="false">IFERROR(INDEX('Master data'!C$2:C$40,MATCH("Not in Books|"&amp;(ROW()-1),'Master data'!$Q$2:$Q$40,0)),"")</f>
        <v>27071C0000155202</v>
      </c>
      <c r="D3" s="12" t="str">
        <f aca="false">IFERROR(INDEX('Master data'!D$2:D$40,MATCH("Not in Books|"&amp;(ROW()-1),'Master data'!$Q$2:$Q$40,0)),"")</f>
        <v>31 Aug 2026</v>
      </c>
      <c r="E3" s="13" t="n">
        <f aca="false">IFERROR(INDEX('Master data'!E$2:E$40,MATCH("Not in Books|"&amp;(ROW()-1),'Master data'!$Q$2:$Q$40,0)),"")</f>
        <v>20</v>
      </c>
      <c r="F3" s="13" t="n">
        <f aca="false">IFERROR(INDEX('Master data'!F$2:F$40,MATCH("Not in Books|"&amp;(ROW()-1),'Master data'!$Q$2:$Q$40,0)),"")</f>
        <v>0</v>
      </c>
      <c r="G3" s="13" t="n">
        <f aca="false">IFERROR(INDEX('Master data'!G$2:G$40,MATCH("Not in Books|"&amp;(ROW()-1),'Master data'!$Q$2:$Q$40,0)),"")</f>
        <v>1.8</v>
      </c>
      <c r="H3" s="13" t="n">
        <f aca="false">IFERROR(INDEX('Master data'!H$2:H$40,MATCH("Not in Books|"&amp;(ROW()-1),'Master data'!$Q$2:$Q$40,0)),"")</f>
        <v>1.8</v>
      </c>
      <c r="I3" s="13" t="n">
        <f aca="false">IFERROR(INDEX('Master data'!I$2:I$40,MATCH("Not in Books|"&amp;(ROW()-1),'Master data'!$Q$2:$Q$40,0)),"")</f>
        <v>0</v>
      </c>
      <c r="J3" s="13" t="n">
        <f aca="false">IFERROR(INDEX('Master data'!J$2:J$40,MATCH("Not in Books|"&amp;(ROW()-1),'Master data'!$Q$2:$Q$40,0)),"")</f>
        <v>3.6</v>
      </c>
      <c r="K3" s="13" t="n">
        <f aca="false">IFERROR(INDEX('Master data'!K$2:K$40,MATCH("Not in Books|"&amp;(ROW()-1),'Master data'!$Q$2:$Q$40,0)),"")</f>
        <v>23.6</v>
      </c>
      <c r="L3" s="12" t="str">
        <f aca="false">IFERROR(INDEX('Master data'!L$2:L$40,MATCH("Not in Books|"&amp;(ROW()-1),'Master data'!$Q$2:$Q$40,0)),"")</f>
        <v>Not in Books</v>
      </c>
      <c r="M3" s="12" t="str">
        <f aca="false">IFERROR(INDEX('Master data'!M$2:M$40,MATCH("Not in Books|"&amp;(ROW()-1),'Master data'!$Q$2:$Q$40,0)),"")</f>
        <v>Not reviewed</v>
      </c>
      <c r="N3" s="12" t="n">
        <f aca="false">IFERROR(INDEX('Master data'!N$2:N$40,MATCH("Not in Books|"&amp;(ROW()-1),'Master data'!$Q$2:$Q$40,0)),"")</f>
        <v>0</v>
      </c>
      <c r="O3" s="12" t="str">
        <f aca="false">IFERROR(INDEX('Master data'!O$2:O$40,MATCH("Not in Books|"&amp;(ROW()-1),'Master data'!$Q$2:$Q$40,0)),"")</f>
        <v>Low — 0%</v>
      </c>
      <c r="P3" s="14" t="str">
        <f aca="false">IFERROR(INDEX('Master data'!P$2:P$40,MATCH("Not in Books|"&amp;(ROW()-1),'Master data'!$Q$2:$Q$40,0)),"")</f>
        <v>Not in Books: GSTIN 07AAACC2498P1Z5, invoice 27071C0000155202, ₹23.60 — no matching book entry found across any pass.</v>
      </c>
    </row>
    <row r="4" customFormat="false" ht="76.1" hidden="false" customHeight="false" outlineLevel="0" collapsed="false">
      <c r="A4" s="12" t="str">
        <f aca="false">IFERROR(INDEX('Master data'!A$2:A$40,MATCH("Not in Books|"&amp;(ROW()-1),'Master data'!$Q$2:$Q$40,0)),"")</f>
        <v>ICICI BANK LIMITED</v>
      </c>
      <c r="B4" s="12" t="str">
        <f aca="false">IFERROR(INDEX('Master data'!B$2:B$40,MATCH("Not in Books|"&amp;(ROW()-1),'Master data'!$Q$2:$Q$40,0)),"")</f>
        <v>27AAACI1195H3ZK</v>
      </c>
      <c r="C4" s="12" t="str">
        <f aca="false">IFERROR(INDEX('Master data'!C$2:C$40,MATCH("Not in Books|"&amp;(ROW()-1),'Master data'!$Q$2:$Q$40,0)),"")</f>
        <v>7406PC6080067461</v>
      </c>
      <c r="D4" s="12" t="str">
        <f aca="false">IFERROR(INDEX('Master data'!D$2:D$40,MATCH("Not in Books|"&amp;(ROW()-1),'Master data'!$Q$2:$Q$40,0)),"")</f>
        <v>31 Aug 2026</v>
      </c>
      <c r="E4" s="13" t="n">
        <f aca="false">IFERROR(INDEX('Master data'!E$2:E$40,MATCH("Not in Books|"&amp;(ROW()-1),'Master data'!$Q$2:$Q$40,0)),"")</f>
        <v>192.24</v>
      </c>
      <c r="F4" s="13" t="n">
        <f aca="false">IFERROR(INDEX('Master data'!F$2:F$40,MATCH("Not in Books|"&amp;(ROW()-1),'Master data'!$Q$2:$Q$40,0)),"")</f>
        <v>34.6</v>
      </c>
      <c r="G4" s="13" t="n">
        <f aca="false">IFERROR(INDEX('Master data'!G$2:G$40,MATCH("Not in Books|"&amp;(ROW()-1),'Master data'!$Q$2:$Q$40,0)),"")</f>
        <v>0</v>
      </c>
      <c r="H4" s="13" t="n">
        <f aca="false">IFERROR(INDEX('Master data'!H$2:H$40,MATCH("Not in Books|"&amp;(ROW()-1),'Master data'!$Q$2:$Q$40,0)),"")</f>
        <v>0</v>
      </c>
      <c r="I4" s="13" t="n">
        <f aca="false">IFERROR(INDEX('Master data'!I$2:I$40,MATCH("Not in Books|"&amp;(ROW()-1),'Master data'!$Q$2:$Q$40,0)),"")</f>
        <v>0</v>
      </c>
      <c r="J4" s="13" t="n">
        <f aca="false">IFERROR(INDEX('Master data'!J$2:J$40,MATCH("Not in Books|"&amp;(ROW()-1),'Master data'!$Q$2:$Q$40,0)),"")</f>
        <v>34.6</v>
      </c>
      <c r="K4" s="13" t="n">
        <f aca="false">IFERROR(INDEX('Master data'!K$2:K$40,MATCH("Not in Books|"&amp;(ROW()-1),'Master data'!$Q$2:$Q$40,0)),"")</f>
        <v>226.84</v>
      </c>
      <c r="L4" s="12" t="str">
        <f aca="false">IFERROR(INDEX('Master data'!L$2:L$40,MATCH("Not in Books|"&amp;(ROW()-1),'Master data'!$Q$2:$Q$40,0)),"")</f>
        <v>Not in Books</v>
      </c>
      <c r="M4" s="12" t="str">
        <f aca="false">IFERROR(INDEX('Master data'!M$2:M$40,MATCH("Not in Books|"&amp;(ROW()-1),'Master data'!$Q$2:$Q$40,0)),"")</f>
        <v>Not reviewed</v>
      </c>
      <c r="N4" s="12" t="n">
        <f aca="false">IFERROR(INDEX('Master data'!N$2:N$40,MATCH("Not in Books|"&amp;(ROW()-1),'Master data'!$Q$2:$Q$40,0)),"")</f>
        <v>0</v>
      </c>
      <c r="O4" s="12" t="str">
        <f aca="false">IFERROR(INDEX('Master data'!O$2:O$40,MATCH("Not in Books|"&amp;(ROW()-1),'Master data'!$Q$2:$Q$40,0)),"")</f>
        <v>Low — 0%</v>
      </c>
      <c r="P4" s="14" t="str">
        <f aca="false">IFERROR(INDEX('Master data'!P$2:P$40,MATCH("Not in Books|"&amp;(ROW()-1),'Master data'!$Q$2:$Q$40,0)),"")</f>
        <v>Not in Books: GSTIN 27AAACI1195H3ZK, invoice 7406PC6080067461, ₹226.84 — no matching book entry found across any pass.</v>
      </c>
    </row>
    <row r="5" customFormat="false" ht="61.15" hidden="false" customHeight="false" outlineLevel="0" collapsed="false">
      <c r="A5" s="12" t="str">
        <f aca="false">IFERROR(INDEX('Master data'!A$2:A$40,MATCH("Not in Books|"&amp;(ROW()-1),'Master data'!$Q$2:$Q$40,0)),"")</f>
        <v>Jelux Solutions</v>
      </c>
      <c r="B5" s="12" t="str">
        <f aca="false">IFERROR(INDEX('Master data'!B$2:B$40,MATCH("Not in Books|"&amp;(ROW()-1),'Master data'!$Q$2:$Q$40,0)),"")</f>
        <v>06AAVFJ3532D1ZD</v>
      </c>
      <c r="C5" s="12" t="str">
        <f aca="false">IFERROR(INDEX('Master data'!C$2:C$40,MATCH("Not in Books|"&amp;(ROW()-1),'Master data'!$Q$2:$Q$40,0)),"")</f>
        <v>27</v>
      </c>
      <c r="D5" s="12" t="str">
        <f aca="false">IFERROR(INDEX('Master data'!D$2:D$40,MATCH("Not in Books|"&amp;(ROW()-1),'Master data'!$Q$2:$Q$40,0)),"")</f>
        <v>01 Aug 2026</v>
      </c>
      <c r="E5" s="13" t="n">
        <f aca="false">IFERROR(INDEX('Master data'!E$2:E$40,MATCH("Not in Books|"&amp;(ROW()-1),'Master data'!$Q$2:$Q$40,0)),"")</f>
        <v>10000</v>
      </c>
      <c r="F5" s="13" t="n">
        <f aca="false">IFERROR(INDEX('Master data'!F$2:F$40,MATCH("Not in Books|"&amp;(ROW()-1),'Master data'!$Q$2:$Q$40,0)),"")</f>
        <v>1800</v>
      </c>
      <c r="G5" s="13" t="n">
        <f aca="false">IFERROR(INDEX('Master data'!G$2:G$40,MATCH("Not in Books|"&amp;(ROW()-1),'Master data'!$Q$2:$Q$40,0)),"")</f>
        <v>0</v>
      </c>
      <c r="H5" s="13" t="n">
        <f aca="false">IFERROR(INDEX('Master data'!H$2:H$40,MATCH("Not in Books|"&amp;(ROW()-1),'Master data'!$Q$2:$Q$40,0)),"")</f>
        <v>0</v>
      </c>
      <c r="I5" s="13" t="n">
        <f aca="false">IFERROR(INDEX('Master data'!I$2:I$40,MATCH("Not in Books|"&amp;(ROW()-1),'Master data'!$Q$2:$Q$40,0)),"")</f>
        <v>0</v>
      </c>
      <c r="J5" s="13" t="n">
        <f aca="false">IFERROR(INDEX('Master data'!J$2:J$40,MATCH("Not in Books|"&amp;(ROW()-1),'Master data'!$Q$2:$Q$40,0)),"")</f>
        <v>1800</v>
      </c>
      <c r="K5" s="13" t="n">
        <f aca="false">IFERROR(INDEX('Master data'!K$2:K$40,MATCH("Not in Books|"&amp;(ROW()-1),'Master data'!$Q$2:$Q$40,0)),"")</f>
        <v>11800</v>
      </c>
      <c r="L5" s="12" t="str">
        <f aca="false">IFERROR(INDEX('Master data'!L$2:L$40,MATCH("Not in Books|"&amp;(ROW()-1),'Master data'!$Q$2:$Q$40,0)),"")</f>
        <v>Not in Books</v>
      </c>
      <c r="M5" s="12" t="str">
        <f aca="false">IFERROR(INDEX('Master data'!M$2:M$40,MATCH("Not in Books|"&amp;(ROW()-1),'Master data'!$Q$2:$Q$40,0)),"")</f>
        <v>Not reviewed</v>
      </c>
      <c r="N5" s="12" t="n">
        <f aca="false">IFERROR(INDEX('Master data'!N$2:N$40,MATCH("Not in Books|"&amp;(ROW()-1),'Master data'!$Q$2:$Q$40,0)),"")</f>
        <v>0</v>
      </c>
      <c r="O5" s="12" t="str">
        <f aca="false">IFERROR(INDEX('Master data'!O$2:O$40,MATCH("Not in Books|"&amp;(ROW()-1),'Master data'!$Q$2:$Q$40,0)),"")</f>
        <v>Low — 0%</v>
      </c>
      <c r="P5" s="14" t="str">
        <f aca="false">IFERROR(INDEX('Master data'!P$2:P$40,MATCH("Not in Books|"&amp;(ROW()-1),'Master data'!$Q$2:$Q$40,0)),"")</f>
        <v>Not in Books: GSTIN 06AAVFJ3532D1ZD, invoice 27, ₹11,800.00 — no matching book entry found across any pass.</v>
      </c>
    </row>
    <row r="6" customFormat="false" ht="15" hidden="false" customHeight="false" outlineLevel="0" collapsed="false">
      <c r="A6" s="2" t="s">
        <v>26</v>
      </c>
      <c r="E6" s="15" t="n">
        <f aca="false">SUM(E2:E5)</f>
        <v>10811.24</v>
      </c>
      <c r="F6" s="15" t="n">
        <f aca="false">SUM(F2:F5)</f>
        <v>1834.6</v>
      </c>
      <c r="G6" s="15" t="n">
        <f aca="false">SUM(G2:G5)</f>
        <v>55.71</v>
      </c>
      <c r="H6" s="15" t="n">
        <f aca="false">SUM(H2:H5)</f>
        <v>55.71</v>
      </c>
      <c r="I6" s="15" t="n">
        <f aca="false">SUM(I2:I5)</f>
        <v>0</v>
      </c>
      <c r="J6" s="15" t="n">
        <f aca="false">SUM(J2:J5)</f>
        <v>1946.02</v>
      </c>
      <c r="K6" s="15" t="n">
        <f aca="false">SUM(K2:K5)</f>
        <v>12757.26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194</v>
      </c>
      <c r="D1" s="7" t="s">
        <v>195</v>
      </c>
      <c r="E1" s="7" t="s">
        <v>196</v>
      </c>
      <c r="F1" s="7" t="s">
        <v>64</v>
      </c>
      <c r="G1" s="7" t="s">
        <v>65</v>
      </c>
      <c r="H1" s="7" t="s">
        <v>66</v>
      </c>
      <c r="I1" s="7" t="s">
        <v>67</v>
      </c>
      <c r="J1" s="7" t="s">
        <v>68</v>
      </c>
      <c r="K1" s="7" t="s">
        <v>23</v>
      </c>
      <c r="L1" s="7" t="s">
        <v>197</v>
      </c>
      <c r="M1" s="7" t="s">
        <v>198</v>
      </c>
      <c r="N1" s="7" t="s">
        <v>199</v>
      </c>
    </row>
    <row r="2" customFormat="false" ht="15" hidden="false" customHeight="false" outlineLevel="0" collapsed="false">
      <c r="A2" s="0" t="s">
        <v>200</v>
      </c>
      <c r="B2" s="0" t="s">
        <v>84</v>
      </c>
      <c r="C2" s="0" t="s">
        <v>201</v>
      </c>
      <c r="D2" s="0" t="s">
        <v>202</v>
      </c>
      <c r="E2" s="0" t="s">
        <v>203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6" t="s">
        <v>204</v>
      </c>
      <c r="N2" s="16" t="s">
        <v>205</v>
      </c>
    </row>
    <row r="3" customFormat="false" ht="15" hidden="false" customHeight="false" outlineLevel="0" collapsed="false">
      <c r="A3" s="0" t="s">
        <v>200</v>
      </c>
      <c r="B3" s="0" t="s">
        <v>84</v>
      </c>
      <c r="C3" s="0" t="s">
        <v>206</v>
      </c>
      <c r="D3" s="0" t="s">
        <v>202</v>
      </c>
      <c r="E3" s="0" t="s">
        <v>156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6" t="s">
        <v>204</v>
      </c>
      <c r="N3" s="16" t="s">
        <v>205</v>
      </c>
    </row>
    <row r="4" customFormat="false" ht="15" hidden="false" customHeight="false" outlineLevel="0" collapsed="false">
      <c r="A4" s="0" t="s">
        <v>200</v>
      </c>
      <c r="B4" s="0" t="s">
        <v>84</v>
      </c>
      <c r="C4" s="0" t="s">
        <v>207</v>
      </c>
      <c r="D4" s="0" t="s">
        <v>202</v>
      </c>
      <c r="E4" s="0" t="s">
        <v>208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6" t="s">
        <v>204</v>
      </c>
      <c r="N4" s="16" t="s">
        <v>205</v>
      </c>
    </row>
    <row r="5" customFormat="false" ht="15" hidden="false" customHeight="false" outlineLevel="0" collapsed="false">
      <c r="A5" s="0" t="s">
        <v>200</v>
      </c>
      <c r="B5" s="0" t="s">
        <v>84</v>
      </c>
      <c r="C5" s="0" t="s">
        <v>209</v>
      </c>
      <c r="D5" s="0" t="s">
        <v>202</v>
      </c>
      <c r="E5" s="0" t="s">
        <v>203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6" t="s">
        <v>204</v>
      </c>
      <c r="N5" s="16" t="s">
        <v>205</v>
      </c>
    </row>
    <row r="6" customFormat="false" ht="15" hidden="false" customHeight="false" outlineLevel="0" collapsed="false">
      <c r="A6" s="0" t="s">
        <v>200</v>
      </c>
      <c r="B6" s="0" t="s">
        <v>84</v>
      </c>
      <c r="C6" s="0" t="s">
        <v>210</v>
      </c>
      <c r="D6" s="0" t="s">
        <v>202</v>
      </c>
      <c r="E6" s="0" t="s">
        <v>153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6" t="s">
        <v>204</v>
      </c>
      <c r="N6" s="16" t="s">
        <v>205</v>
      </c>
    </row>
    <row r="7" customFormat="false" ht="15" hidden="false" customHeight="false" outlineLevel="0" collapsed="false">
      <c r="A7" s="0" t="s">
        <v>211</v>
      </c>
      <c r="B7" s="0" t="s">
        <v>75</v>
      </c>
      <c r="C7" s="0" t="s">
        <v>212</v>
      </c>
      <c r="D7" s="0" t="s">
        <v>202</v>
      </c>
      <c r="E7" s="0" t="s">
        <v>123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6" t="s">
        <v>204</v>
      </c>
      <c r="N7" s="16" t="s">
        <v>205</v>
      </c>
    </row>
    <row r="8" customFormat="false" ht="15" hidden="false" customHeight="false" outlineLevel="0" collapsed="false">
      <c r="A8" s="0" t="s">
        <v>211</v>
      </c>
      <c r="B8" s="0" t="s">
        <v>75</v>
      </c>
      <c r="C8" s="0" t="s">
        <v>213</v>
      </c>
      <c r="D8" s="0" t="s">
        <v>202</v>
      </c>
      <c r="E8" s="0" t="s">
        <v>165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6" t="s">
        <v>204</v>
      </c>
      <c r="N8" s="16" t="s">
        <v>205</v>
      </c>
    </row>
    <row r="9" customFormat="false" ht="15" hidden="false" customHeight="false" outlineLevel="0" collapsed="false">
      <c r="A9" s="0" t="s">
        <v>211</v>
      </c>
      <c r="B9" s="0" t="s">
        <v>75</v>
      </c>
      <c r="C9" s="0" t="s">
        <v>214</v>
      </c>
      <c r="D9" s="0" t="s">
        <v>202</v>
      </c>
      <c r="E9" s="0" t="s">
        <v>118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6" t="s">
        <v>204</v>
      </c>
      <c r="N9" s="16" t="s">
        <v>205</v>
      </c>
    </row>
    <row r="10" customFormat="false" ht="15" hidden="false" customHeight="false" outlineLevel="0" collapsed="false">
      <c r="A10" s="0" t="s">
        <v>211</v>
      </c>
      <c r="B10" s="0" t="s">
        <v>75</v>
      </c>
      <c r="C10" s="0" t="s">
        <v>215</v>
      </c>
      <c r="D10" s="0" t="s">
        <v>202</v>
      </c>
      <c r="E10" s="0" t="s">
        <v>165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6" t="s">
        <v>204</v>
      </c>
      <c r="N10" s="16" t="s">
        <v>205</v>
      </c>
    </row>
    <row r="11" customFormat="false" ht="15" hidden="false" customHeight="false" outlineLevel="0" collapsed="false">
      <c r="A11" s="0" t="s">
        <v>216</v>
      </c>
      <c r="B11" s="0" t="s">
        <v>148</v>
      </c>
      <c r="C11" s="0" t="s">
        <v>217</v>
      </c>
      <c r="D11" s="0" t="s">
        <v>202</v>
      </c>
      <c r="E11" s="0" t="s">
        <v>153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6" t="s">
        <v>204</v>
      </c>
      <c r="N11" s="16" t="s">
        <v>205</v>
      </c>
    </row>
    <row r="12" customFormat="false" ht="15" hidden="false" customHeight="false" outlineLevel="0" collapsed="false">
      <c r="A12" s="0" t="s">
        <v>88</v>
      </c>
      <c r="B12" s="0" t="s">
        <v>89</v>
      </c>
      <c r="C12" s="0" t="s">
        <v>218</v>
      </c>
      <c r="D12" s="0" t="s">
        <v>202</v>
      </c>
      <c r="E12" s="0" t="s">
        <v>86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6" t="s">
        <v>204</v>
      </c>
      <c r="N12" s="16" t="s">
        <v>205</v>
      </c>
    </row>
    <row r="13" customFormat="false" ht="15" hidden="false" customHeight="false" outlineLevel="0" collapsed="false">
      <c r="A13" s="0" t="s">
        <v>88</v>
      </c>
      <c r="B13" s="0" t="s">
        <v>89</v>
      </c>
      <c r="C13" s="0" t="s">
        <v>219</v>
      </c>
      <c r="D13" s="0" t="s">
        <v>202</v>
      </c>
      <c r="E13" s="0" t="s">
        <v>220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6" t="s">
        <v>204</v>
      </c>
      <c r="N13" s="16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2026-09-26T13:32:11Z</dcterms:created>
  <dc:creator>openpyxl</dc:creator>
  <dc:description/>
  <dc:language>en-US</dc:language>
  <cp:lastModifiedBy/>
  <dcterms:modified xsi:type="dcterms:W3CDTF">2026-09-26T13:32:11Z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