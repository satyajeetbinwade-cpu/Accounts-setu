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COUNTING JELUX\JELUX SOLUTIONS\FY 26-27\"/>
    </mc:Choice>
  </mc:AlternateContent>
  <xr:revisionPtr revIDLastSave="0" documentId="13_ncr:1_{D14281D5-9C98-4442-9622-40C57D7DC1EA}" xr6:coauthVersionLast="47" xr6:coauthVersionMax="47" xr10:uidLastSave="{00000000-0000-0000-0000-000000000000}"/>
  <bookViews>
    <workbookView xWindow="30" yWindow="300" windowWidth="22020" windowHeight="12945" xr2:uid="{7FCC55F8-EFCC-4595-8C02-3D66D1341435}"/>
  </bookViews>
  <sheets>
    <sheet name="TrialB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4" i="1" l="1"/>
  <c r="C94" i="1"/>
  <c r="E93" i="1"/>
  <c r="C93" i="1"/>
  <c r="E92" i="1"/>
  <c r="D92" i="1"/>
  <c r="C92" i="1"/>
  <c r="E91" i="1"/>
  <c r="C91" i="1"/>
  <c r="E90" i="1"/>
  <c r="C90" i="1"/>
  <c r="E89" i="1"/>
  <c r="C89" i="1"/>
  <c r="E88" i="1"/>
  <c r="C88" i="1"/>
  <c r="D87" i="1"/>
  <c r="C87" i="1"/>
  <c r="E86" i="1"/>
  <c r="C86" i="1"/>
  <c r="E85" i="1"/>
  <c r="C85" i="1"/>
  <c r="E84" i="1"/>
  <c r="D84" i="1"/>
  <c r="C84" i="1"/>
  <c r="E83" i="1"/>
  <c r="D83" i="1"/>
  <c r="E82" i="1"/>
  <c r="D82" i="1"/>
  <c r="E81" i="1"/>
  <c r="C81" i="1"/>
  <c r="E80" i="1"/>
  <c r="D80" i="1"/>
  <c r="C80" i="1"/>
  <c r="E79" i="1"/>
  <c r="C79" i="1"/>
  <c r="E78" i="1"/>
  <c r="C78" i="1"/>
  <c r="E77" i="1"/>
  <c r="C77" i="1"/>
  <c r="C76" i="1"/>
  <c r="E75" i="1"/>
  <c r="D75" i="1"/>
  <c r="C75" i="1"/>
  <c r="E74" i="1"/>
  <c r="D74" i="1"/>
  <c r="E73" i="1"/>
  <c r="D73" i="1"/>
  <c r="E72" i="1"/>
  <c r="D72" i="1"/>
  <c r="C72" i="1"/>
  <c r="B72" i="1"/>
  <c r="E71" i="1"/>
  <c r="D71" i="1"/>
  <c r="C71" i="1"/>
  <c r="B71" i="1"/>
  <c r="E70" i="1"/>
  <c r="B70" i="1"/>
  <c r="E69" i="1"/>
  <c r="B69" i="1"/>
  <c r="D66" i="1"/>
  <c r="C66" i="1"/>
  <c r="B66" i="1"/>
  <c r="D65" i="1"/>
  <c r="B65" i="1"/>
  <c r="E64" i="1"/>
  <c r="D64" i="1"/>
  <c r="B64" i="1"/>
  <c r="D63" i="1"/>
  <c r="B63" i="1"/>
  <c r="D62" i="1"/>
  <c r="C62" i="1"/>
  <c r="B62" i="1"/>
  <c r="E61" i="1"/>
  <c r="D61" i="1"/>
  <c r="B61" i="1"/>
  <c r="D60" i="1"/>
  <c r="C60" i="1"/>
  <c r="B60" i="1"/>
  <c r="E59" i="1"/>
  <c r="D59" i="1"/>
  <c r="B59" i="1"/>
  <c r="D58" i="1"/>
  <c r="C58" i="1"/>
  <c r="B58" i="1"/>
  <c r="E57" i="1"/>
  <c r="D57" i="1"/>
  <c r="C57" i="1"/>
  <c r="B57" i="1"/>
  <c r="E56" i="1"/>
  <c r="D56" i="1"/>
  <c r="C56" i="1"/>
  <c r="B56" i="1"/>
  <c r="D55" i="1"/>
  <c r="C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D30" i="1"/>
  <c r="C30" i="1"/>
  <c r="D29" i="1"/>
  <c r="C29" i="1"/>
  <c r="B29" i="1"/>
  <c r="C28" i="1"/>
  <c r="B28" i="1"/>
  <c r="C27" i="1"/>
  <c r="B27" i="1"/>
  <c r="D26" i="1"/>
  <c r="C26" i="1"/>
  <c r="D25" i="1"/>
  <c r="C25" i="1"/>
  <c r="E24" i="1"/>
  <c r="C24" i="1"/>
  <c r="E23" i="1"/>
  <c r="C23" i="1"/>
  <c r="E22" i="1"/>
  <c r="C22" i="1"/>
  <c r="E21" i="1"/>
  <c r="D21" i="1"/>
  <c r="C21" i="1"/>
  <c r="B21" i="1"/>
  <c r="E20" i="1"/>
  <c r="D20" i="1"/>
  <c r="C20" i="1"/>
  <c r="B20" i="1"/>
  <c r="E19" i="1"/>
  <c r="D19" i="1"/>
  <c r="C19" i="1"/>
  <c r="B19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</calcChain>
</file>

<file path=xl/sharedStrings.xml><?xml version="1.0" encoding="utf-8"?>
<sst xmlns="http://schemas.openxmlformats.org/spreadsheetml/2006/main" count="102" uniqueCount="98">
  <si>
    <t>ABC SOLUTIONS</t>
  </si>
  <si>
    <t>U-8 NAVIN SHAHADRA</t>
  </si>
  <si>
    <t>DELHI-110032</t>
  </si>
  <si>
    <t>Mob : +919XXXXXXXXX</t>
  </si>
  <si>
    <t>Email : ABC-SOLUTIONS@gmail.Com</t>
  </si>
  <si>
    <t xml:space="preserve">IEC Code :  </t>
  </si>
  <si>
    <t>E-Mail : growtech37@gmail.com</t>
  </si>
  <si>
    <t>Trial Balance</t>
  </si>
  <si>
    <t>1-Apr-24 to 31-Mar-25</t>
  </si>
  <si>
    <t/>
  </si>
  <si>
    <t>GROW TECH - (from 1-Apr-23)</t>
  </si>
  <si>
    <t>Particulars</t>
  </si>
  <si>
    <t>Opening</t>
  </si>
  <si>
    <t>Transactions</t>
  </si>
  <si>
    <t>Closing</t>
  </si>
  <si>
    <t>Balance</t>
  </si>
  <si>
    <t>Debit</t>
  </si>
  <si>
    <t>Credit</t>
  </si>
  <si>
    <t>Capital Account</t>
  </si>
  <si>
    <t>ABC1 Capital A/c</t>
  </si>
  <si>
    <t>ABC2 Capital A/c</t>
  </si>
  <si>
    <t>Loans (Liability)</t>
  </si>
  <si>
    <t>Unsecured Loans</t>
  </si>
  <si>
    <t>Current Liabilities</t>
  </si>
  <si>
    <t>Duties &amp; Taxes</t>
  </si>
  <si>
    <t>Input CGST @ 9%</t>
  </si>
  <si>
    <t>Input IGST @ 18%</t>
  </si>
  <si>
    <t>Input SGST @ 9%</t>
  </si>
  <si>
    <t>Output IGST @ 18%</t>
  </si>
  <si>
    <t>Output IGST @ 28%</t>
  </si>
  <si>
    <t>TDS Payable on Contractor</t>
  </si>
  <si>
    <t>TDS Payable on Professional Fees</t>
  </si>
  <si>
    <t>TDS Payable on Rent</t>
  </si>
  <si>
    <t>Sundry Creditors</t>
  </si>
  <si>
    <t>Bansal Stanmart (India) Private Limited</t>
  </si>
  <si>
    <t>Expenses Payable</t>
  </si>
  <si>
    <t>Salary Payable</t>
  </si>
  <si>
    <t>Audit Fee Payable</t>
  </si>
  <si>
    <t>DT Zone</t>
  </si>
  <si>
    <t>Electricity Expenses Payable</t>
  </si>
  <si>
    <t>Google India Pvt. Ltd.</t>
  </si>
  <si>
    <t>Jain S N &amp; Co.</t>
  </si>
  <si>
    <t>Kailash Chand Jain</t>
  </si>
  <si>
    <t>Proman Securitech Pvt. Ltd.</t>
  </si>
  <si>
    <t>Shreyans Associates</t>
  </si>
  <si>
    <t xml:space="preserve">Games Technologies </t>
  </si>
  <si>
    <t>Fixed Assets</t>
  </si>
  <si>
    <t>Air Conditioner</t>
  </si>
  <si>
    <t>Computers</t>
  </si>
  <si>
    <t>Mobile Phones</t>
  </si>
  <si>
    <t>Attendance System</t>
  </si>
  <si>
    <t>Car</t>
  </si>
  <si>
    <t>Refrigerator</t>
  </si>
  <si>
    <t>Smart  Watch 85176290</t>
  </si>
  <si>
    <t>Washing Machine 84501100</t>
  </si>
  <si>
    <t>Water Dispenser 84186920</t>
  </si>
  <si>
    <t>Investments</t>
  </si>
  <si>
    <t>HDFC Bank A/c FDR</t>
  </si>
  <si>
    <t>Current Assets</t>
  </si>
  <si>
    <t>Loans &amp; Advances (Asset)</t>
  </si>
  <si>
    <t>Advance Tax</t>
  </si>
  <si>
    <t>CGST (Claim Next Year)</t>
  </si>
  <si>
    <t>HDFC Bank</t>
  </si>
  <si>
    <t>IGST (Claim Next Year)</t>
  </si>
  <si>
    <t>Income Tax</t>
  </si>
  <si>
    <t>Rent Advance</t>
  </si>
  <si>
    <t>SGST (Claim Next Year)</t>
  </si>
  <si>
    <t>Tax Deducted at Source</t>
  </si>
  <si>
    <t>Sundry Debtors</t>
  </si>
  <si>
    <t>Digital Ninja Services FZCO</t>
  </si>
  <si>
    <t>Time Wrap Technologies LLP (Noida)</t>
  </si>
  <si>
    <t>Cash-in-Hand</t>
  </si>
  <si>
    <t>Cash</t>
  </si>
  <si>
    <t>Bank Accounts</t>
  </si>
  <si>
    <t>Sales Accounts</t>
  </si>
  <si>
    <t>Export Sales</t>
  </si>
  <si>
    <t>Direct Expenses</t>
  </si>
  <si>
    <t>Computer Maintenance</t>
  </si>
  <si>
    <t>Computer Cable 854449</t>
  </si>
  <si>
    <t>Gaming Mouse 84716060</t>
  </si>
  <si>
    <t>Google Workspace</t>
  </si>
  <si>
    <t>Electricity Expenses</t>
  </si>
  <si>
    <t>Staff Salary</t>
  </si>
  <si>
    <t>Indirect Incomes</t>
  </si>
  <si>
    <t>Intt. on FDR</t>
  </si>
  <si>
    <t>Indirect Expenses</t>
  </si>
  <si>
    <t>Repairs &amp; Maintenance</t>
  </si>
  <si>
    <t>Accounting Charges</t>
  </si>
  <si>
    <t>Audit Fees</t>
  </si>
  <si>
    <t>Bank Charges</t>
  </si>
  <si>
    <t>Financial Charges</t>
  </si>
  <si>
    <t>Partners Remuneration</t>
  </si>
  <si>
    <t>Rent Paid</t>
  </si>
  <si>
    <t>Short &amp; Excess</t>
  </si>
  <si>
    <t>Profit &amp; Loss A/c</t>
  </si>
  <si>
    <t>Grand Total</t>
  </si>
  <si>
    <t>XYZ &amp; Associates LLP</t>
  </si>
  <si>
    <t>HDFC Bank (C/A *****************)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</si>
</sst>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&quot; Cr&quot;"/>
    <numFmt numFmtId="165" formatCode="&quot;&quot;0"/>
    <numFmt numFmtId="166" formatCode="&quot;&quot;0.00"/>
    <numFmt numFmtId="167" formatCode="&quot;&quot;0.00&quot; Dr&quot;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left" vertical="top" indent="4"/>
    </xf>
    <xf numFmtId="49" fontId="3" fillId="0" borderId="4" xfId="0" applyNumberFormat="1" applyFont="1" applyBorder="1" applyAlignment="1">
      <alignment horizontal="left" vertical="top" indent="4"/>
    </xf>
    <xf numFmtId="49" fontId="3" fillId="0" borderId="3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 indent="4"/>
    </xf>
    <xf numFmtId="49" fontId="3" fillId="0" borderId="5" xfId="0" applyNumberFormat="1" applyFon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4" fontId="4" fillId="0" borderId="0" xfId="0" applyNumberFormat="1" applyFont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indent="4"/>
    </xf>
    <xf numFmtId="49" fontId="5" fillId="0" borderId="0" xfId="0" applyNumberFormat="1" applyFont="1" applyAlignment="1">
      <alignment horizontal="left" vertical="top" indent="6"/>
    </xf>
    <xf numFmtId="165" fontId="4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7"/>
    </xf>
    <xf numFmtId="165" fontId="4" fillId="0" borderId="1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horizontal="left" vertical="top" indent="6"/>
    </xf>
    <xf numFmtId="49" fontId="5" fillId="0" borderId="0" xfId="0" applyNumberFormat="1" applyFont="1" applyAlignment="1">
      <alignment horizontal="left" vertical="top" indent="5"/>
    </xf>
    <xf numFmtId="49" fontId="4" fillId="0" borderId="0" xfId="0" applyNumberFormat="1" applyFont="1" applyAlignment="1">
      <alignment horizontal="left" vertical="top" indent="3"/>
    </xf>
    <xf numFmtId="49" fontId="5" fillId="0" borderId="0" xfId="0" applyNumberFormat="1" applyFont="1" applyAlignment="1">
      <alignment horizontal="left" vertical="top" indent="2"/>
    </xf>
    <xf numFmtId="49" fontId="5" fillId="0" borderId="0" xfId="0" applyNumberFormat="1" applyFont="1" applyAlignment="1">
      <alignment horizontal="left" vertical="top" indent="3"/>
    </xf>
    <xf numFmtId="164" fontId="3" fillId="0" borderId="1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7" xfId="0" applyNumberFormat="1" applyFont="1" applyBorder="1" applyAlignment="1">
      <alignment horizontal="left" vertical="top" indent="4"/>
    </xf>
    <xf numFmtId="165" fontId="3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rialBal-S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"/>
      <sheetName val="DISTORTED"/>
    </sheetNames>
    <sheetDataSet>
      <sheetData sheetId="0">
        <row r="7">
          <cell r="E7">
            <v>0.88</v>
          </cell>
        </row>
        <row r="15">
          <cell r="B15">
            <v>2024008.76</v>
          </cell>
          <cell r="C15">
            <v>3345029.84</v>
          </cell>
          <cell r="D15">
            <v>1859218.28</v>
          </cell>
          <cell r="E15">
            <v>538197.19999999995</v>
          </cell>
        </row>
        <row r="16">
          <cell r="B16">
            <v>1193239</v>
          </cell>
          <cell r="C16">
            <v>1872904.92</v>
          </cell>
          <cell r="D16">
            <v>722109.14</v>
          </cell>
          <cell r="E16">
            <v>42443.22</v>
          </cell>
        </row>
        <row r="17">
          <cell r="B17">
            <v>830769.76</v>
          </cell>
          <cell r="C17">
            <v>1472124.92</v>
          </cell>
          <cell r="D17">
            <v>1137109.1399999999</v>
          </cell>
          <cell r="E17">
            <v>495753.98</v>
          </cell>
        </row>
        <row r="18">
          <cell r="B18">
            <v>700000</v>
          </cell>
          <cell r="C18">
            <v>1360000</v>
          </cell>
          <cell r="D18">
            <v>660000</v>
          </cell>
        </row>
        <row r="19">
          <cell r="B19">
            <v>700000</v>
          </cell>
          <cell r="C19">
            <v>1360000</v>
          </cell>
          <cell r="D19">
            <v>660000</v>
          </cell>
        </row>
        <row r="20">
          <cell r="B20">
            <v>1376599.58</v>
          </cell>
          <cell r="C20">
            <v>1918751.14</v>
          </cell>
          <cell r="D20">
            <v>523702.78</v>
          </cell>
          <cell r="E20">
            <v>18448.78</v>
          </cell>
        </row>
        <row r="21">
          <cell r="B21">
            <v>66812</v>
          </cell>
          <cell r="C21">
            <v>482004.56</v>
          </cell>
          <cell r="D21">
            <v>396743.78</v>
          </cell>
          <cell r="E21">
            <v>18448.78</v>
          </cell>
        </row>
        <row r="22">
          <cell r="C22">
            <v>8218.4500000000007</v>
          </cell>
          <cell r="E22">
            <v>8218.4500000000007</v>
          </cell>
        </row>
        <row r="23">
          <cell r="C23">
            <v>2011.88</v>
          </cell>
          <cell r="E23">
            <v>2011.88</v>
          </cell>
        </row>
        <row r="24">
          <cell r="C24">
            <v>8218.4500000000007</v>
          </cell>
          <cell r="E24">
            <v>8218.4500000000007</v>
          </cell>
        </row>
        <row r="25">
          <cell r="C25">
            <v>374054.58</v>
          </cell>
          <cell r="D25">
            <v>374054.58</v>
          </cell>
        </row>
        <row r="26">
          <cell r="C26">
            <v>17189.2</v>
          </cell>
          <cell r="D26">
            <v>17189.2</v>
          </cell>
        </row>
        <row r="27">
          <cell r="B27">
            <v>6512</v>
          </cell>
          <cell r="C27">
            <v>6512</v>
          </cell>
        </row>
        <row r="28">
          <cell r="B28">
            <v>54800</v>
          </cell>
          <cell r="C28">
            <v>54800</v>
          </cell>
        </row>
        <row r="29">
          <cell r="B29">
            <v>5500</v>
          </cell>
          <cell r="C29">
            <v>11000</v>
          </cell>
          <cell r="D29">
            <v>5500</v>
          </cell>
        </row>
        <row r="30">
          <cell r="C30">
            <v>10270</v>
          </cell>
          <cell r="D30">
            <v>10270</v>
          </cell>
        </row>
        <row r="31">
          <cell r="C31">
            <v>10270</v>
          </cell>
          <cell r="D31">
            <v>10270</v>
          </cell>
        </row>
        <row r="32">
          <cell r="B32">
            <v>1309787.58</v>
          </cell>
          <cell r="C32">
            <v>1426476.58</v>
          </cell>
          <cell r="D32">
            <v>116689</v>
          </cell>
        </row>
        <row r="33">
          <cell r="B33">
            <v>743765</v>
          </cell>
          <cell r="C33">
            <v>743765</v>
          </cell>
        </row>
        <row r="34">
          <cell r="B34">
            <v>9720</v>
          </cell>
          <cell r="C34">
            <v>9720</v>
          </cell>
        </row>
        <row r="35">
          <cell r="B35">
            <v>20000</v>
          </cell>
          <cell r="C35">
            <v>20000</v>
          </cell>
        </row>
        <row r="36">
          <cell r="B36">
            <v>100000</v>
          </cell>
          <cell r="C36">
            <v>100000</v>
          </cell>
        </row>
        <row r="37">
          <cell r="B37">
            <v>80780</v>
          </cell>
          <cell r="C37">
            <v>80780</v>
          </cell>
        </row>
        <row r="38">
          <cell r="B38">
            <v>13435.58</v>
          </cell>
          <cell r="C38">
            <v>26624.58</v>
          </cell>
          <cell r="D38">
            <v>13189</v>
          </cell>
        </row>
        <row r="39">
          <cell r="C39">
            <v>23600</v>
          </cell>
          <cell r="D39">
            <v>23600</v>
          </cell>
        </row>
        <row r="40">
          <cell r="C40">
            <v>64900</v>
          </cell>
          <cell r="D40">
            <v>64900</v>
          </cell>
        </row>
        <row r="41">
          <cell r="B41">
            <v>17287</v>
          </cell>
          <cell r="C41">
            <v>17287</v>
          </cell>
        </row>
        <row r="42">
          <cell r="C42">
            <v>15000</v>
          </cell>
          <cell r="D42">
            <v>15000</v>
          </cell>
        </row>
        <row r="43">
          <cell r="B43">
            <v>324800</v>
          </cell>
          <cell r="C43">
            <v>324800</v>
          </cell>
        </row>
        <row r="44">
          <cell r="B44">
            <v>2433752</v>
          </cell>
          <cell r="D44">
            <v>2433752</v>
          </cell>
        </row>
        <row r="45">
          <cell r="B45">
            <v>61390</v>
          </cell>
          <cell r="D45">
            <v>61390</v>
          </cell>
        </row>
        <row r="46">
          <cell r="B46">
            <v>1775586</v>
          </cell>
          <cell r="D46">
            <v>1775586</v>
          </cell>
        </row>
        <row r="47">
          <cell r="B47">
            <v>268255</v>
          </cell>
          <cell r="D47">
            <v>268255</v>
          </cell>
        </row>
        <row r="48">
          <cell r="B48">
            <v>15520</v>
          </cell>
          <cell r="D48">
            <v>15520</v>
          </cell>
        </row>
        <row r="49">
          <cell r="B49">
            <v>274401</v>
          </cell>
          <cell r="D49">
            <v>274401</v>
          </cell>
        </row>
        <row r="50">
          <cell r="B50">
            <v>6330</v>
          </cell>
          <cell r="D50">
            <v>6330</v>
          </cell>
        </row>
        <row r="51">
          <cell r="B51">
            <v>9111</v>
          </cell>
          <cell r="D51">
            <v>9111</v>
          </cell>
        </row>
        <row r="52">
          <cell r="B52">
            <v>10769</v>
          </cell>
          <cell r="D52">
            <v>10769</v>
          </cell>
        </row>
        <row r="53">
          <cell r="B53">
            <v>12390</v>
          </cell>
          <cell r="D53">
            <v>12390</v>
          </cell>
        </row>
        <row r="54">
          <cell r="D54">
            <v>25000</v>
          </cell>
        </row>
        <row r="55">
          <cell r="C55">
            <v>25000</v>
          </cell>
          <cell r="D55">
            <v>25000</v>
          </cell>
        </row>
        <row r="56">
          <cell r="B56">
            <v>1666856.34</v>
          </cell>
          <cell r="C56">
            <v>10106152.18</v>
          </cell>
          <cell r="D56">
            <v>11253260.1</v>
          </cell>
          <cell r="E56">
            <v>519748.42</v>
          </cell>
        </row>
        <row r="57">
          <cell r="B57">
            <v>1616570</v>
          </cell>
          <cell r="C57">
            <v>176834.98</v>
          </cell>
          <cell r="D57">
            <v>1347428.6</v>
          </cell>
          <cell r="E57">
            <v>445976.38</v>
          </cell>
        </row>
        <row r="58">
          <cell r="B58">
            <v>400000</v>
          </cell>
          <cell r="C58">
            <v>95000</v>
          </cell>
          <cell r="D58">
            <v>495000</v>
          </cell>
        </row>
        <row r="59">
          <cell r="B59">
            <v>96316</v>
          </cell>
          <cell r="D59">
            <v>32174.92</v>
          </cell>
          <cell r="E59">
            <v>64141.08</v>
          </cell>
        </row>
        <row r="60">
          <cell r="C60">
            <v>1934.98</v>
          </cell>
          <cell r="D60">
            <v>1934.98</v>
          </cell>
        </row>
        <row r="61">
          <cell r="B61">
            <v>534852</v>
          </cell>
          <cell r="D61">
            <v>391243.78</v>
          </cell>
          <cell r="E61">
            <v>143608.22</v>
          </cell>
        </row>
        <row r="62">
          <cell r="C62">
            <v>79900</v>
          </cell>
          <cell r="D62">
            <v>79900</v>
          </cell>
        </row>
        <row r="63">
          <cell r="B63">
            <v>110000</v>
          </cell>
          <cell r="D63">
            <v>110000</v>
          </cell>
        </row>
        <row r="64">
          <cell r="B64">
            <v>270402</v>
          </cell>
          <cell r="D64">
            <v>32174.92</v>
          </cell>
          <cell r="E64">
            <v>238227.08</v>
          </cell>
        </row>
        <row r="65">
          <cell r="B65">
            <v>205000</v>
          </cell>
          <cell r="D65">
            <v>205000</v>
          </cell>
        </row>
        <row r="66">
          <cell r="C66">
            <v>4376167.2</v>
          </cell>
          <cell r="D66">
            <v>4376167.2</v>
          </cell>
        </row>
        <row r="69">
          <cell r="B69">
            <v>39270.35</v>
          </cell>
          <cell r="E69">
            <v>39270.35</v>
          </cell>
        </row>
        <row r="70">
          <cell r="B70">
            <v>39270.35</v>
          </cell>
          <cell r="E70">
            <v>39270.35</v>
          </cell>
        </row>
        <row r="71">
          <cell r="B71">
            <v>11015.99</v>
          </cell>
          <cell r="C71">
            <v>5553150</v>
          </cell>
          <cell r="D71">
            <v>5529664.2999999998</v>
          </cell>
          <cell r="E71">
            <v>34501.69</v>
          </cell>
        </row>
        <row r="72">
          <cell r="B72">
            <v>11015.99</v>
          </cell>
          <cell r="C72">
            <v>5553150</v>
          </cell>
          <cell r="D72">
            <v>5529664.2999999998</v>
          </cell>
          <cell r="E72">
            <v>34501.69</v>
          </cell>
        </row>
        <row r="73">
          <cell r="D73">
            <v>1472772.2</v>
          </cell>
          <cell r="E73">
            <v>1472772.2</v>
          </cell>
        </row>
        <row r="74">
          <cell r="D74">
            <v>1472772.2</v>
          </cell>
          <cell r="E74">
            <v>1472772.2</v>
          </cell>
        </row>
        <row r="75">
          <cell r="C75">
            <v>29282.12</v>
          </cell>
          <cell r="D75">
            <v>1140</v>
          </cell>
          <cell r="E75">
            <v>28142.12</v>
          </cell>
        </row>
        <row r="76">
          <cell r="C76">
            <v>12677.12</v>
          </cell>
        </row>
        <row r="77">
          <cell r="C77">
            <v>300</v>
          </cell>
          <cell r="E77">
            <v>300</v>
          </cell>
        </row>
        <row r="78">
          <cell r="C78">
            <v>1200</v>
          </cell>
          <cell r="E78">
            <v>1200</v>
          </cell>
        </row>
        <row r="79">
          <cell r="C79">
            <v>11177.12</v>
          </cell>
          <cell r="E79">
            <v>11177.12</v>
          </cell>
        </row>
        <row r="80">
          <cell r="C80">
            <v>7460</v>
          </cell>
          <cell r="D80">
            <v>1140</v>
          </cell>
          <cell r="E80">
            <v>6320</v>
          </cell>
        </row>
        <row r="81">
          <cell r="C81">
            <v>9145</v>
          </cell>
          <cell r="E81">
            <v>9145</v>
          </cell>
        </row>
        <row r="82">
          <cell r="D82">
            <v>204</v>
          </cell>
          <cell r="E82">
            <v>204</v>
          </cell>
        </row>
        <row r="83">
          <cell r="D83">
            <v>204</v>
          </cell>
          <cell r="E83">
            <v>204</v>
          </cell>
        </row>
        <row r="84">
          <cell r="C84">
            <v>1062386.45</v>
          </cell>
          <cell r="D84">
            <v>21770.65</v>
          </cell>
          <cell r="E84">
            <v>1040615.8</v>
          </cell>
        </row>
        <row r="85">
          <cell r="C85">
            <v>7203.39</v>
          </cell>
          <cell r="E85">
            <v>7203.39</v>
          </cell>
        </row>
        <row r="86">
          <cell r="C86">
            <v>15000</v>
          </cell>
          <cell r="E86">
            <v>15000</v>
          </cell>
        </row>
        <row r="87">
          <cell r="C87">
            <v>20000</v>
          </cell>
          <cell r="D87">
            <v>20000</v>
          </cell>
        </row>
        <row r="88">
          <cell r="C88">
            <v>3542.84</v>
          </cell>
          <cell r="E88">
            <v>1772.84</v>
          </cell>
        </row>
        <row r="89">
          <cell r="C89">
            <v>1639.8</v>
          </cell>
          <cell r="E89">
            <v>1639.8</v>
          </cell>
        </row>
        <row r="90">
          <cell r="C90">
            <v>960000</v>
          </cell>
          <cell r="E90">
            <v>960000</v>
          </cell>
        </row>
        <row r="91">
          <cell r="C91">
            <v>55000</v>
          </cell>
          <cell r="E91">
            <v>55000</v>
          </cell>
        </row>
        <row r="92">
          <cell r="C92">
            <v>0.42</v>
          </cell>
          <cell r="D92">
            <v>0.65</v>
          </cell>
          <cell r="E92">
            <v>0.23</v>
          </cell>
        </row>
        <row r="93">
          <cell r="C93">
            <v>404218.28</v>
          </cell>
          <cell r="E93">
            <v>404218.28</v>
          </cell>
        </row>
        <row r="94">
          <cell r="C94">
            <v>18250820.010000002</v>
          </cell>
          <cell r="D94">
            <v>18250820.010000002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4B8B-CCF6-4F1F-ACD9-CFCE066848ED}">
  <dimension ref="A1:E94"/>
  <sheetViews>
    <sheetView tabSelected="1" topLeftCell="A4" workbookViewId="0">
      <selection activeCell="A78" sqref="A78"/>
    </sheetView>
  </sheetViews>
  <sheetFormatPr defaultRowHeight="14.5" x14ac:dyDescent="0.35"/>
  <cols>
    <col min="1" max="1" width="46.36328125" bestFit="1" customWidth="1"/>
    <col min="2" max="2" width="12.81640625" bestFit="1" customWidth="1"/>
    <col min="3" max="4" width="12.08984375" customWidth="1"/>
    <col min="5" max="5" width="12.81640625" bestFit="1" customWidth="1"/>
  </cols>
  <sheetData>
    <row r="1" spans="1:5" ht="15.5" x14ac:dyDescent="0.35">
      <c r="A1" s="46" t="s">
        <v>0</v>
      </c>
      <c r="B1" s="46"/>
      <c r="C1" s="46"/>
      <c r="D1" s="1"/>
      <c r="E1" s="1"/>
    </row>
    <row r="2" spans="1:5" x14ac:dyDescent="0.35">
      <c r="A2" s="39" t="s">
        <v>1</v>
      </c>
      <c r="B2" s="39"/>
      <c r="C2" s="39"/>
      <c r="D2" s="1"/>
      <c r="E2" s="1"/>
    </row>
    <row r="3" spans="1:5" x14ac:dyDescent="0.35">
      <c r="A3" s="39" t="s">
        <v>2</v>
      </c>
      <c r="B3" s="39"/>
      <c r="C3" s="39"/>
      <c r="D3" s="1"/>
      <c r="E3" s="1"/>
    </row>
    <row r="4" spans="1:5" x14ac:dyDescent="0.35">
      <c r="A4" s="39"/>
      <c r="B4" s="39"/>
      <c r="C4" s="39"/>
      <c r="D4" s="1"/>
      <c r="E4" s="1"/>
    </row>
    <row r="5" spans="1:5" x14ac:dyDescent="0.35">
      <c r="A5" s="39" t="s">
        <v>3</v>
      </c>
      <c r="B5" s="39"/>
      <c r="C5" s="39"/>
      <c r="D5" s="1"/>
      <c r="E5" s="1"/>
    </row>
    <row r="6" spans="1:5" x14ac:dyDescent="0.35">
      <c r="A6" s="39" t="s">
        <v>4</v>
      </c>
      <c r="B6" s="39"/>
      <c r="C6" s="39"/>
      <c r="D6" s="1"/>
      <c r="E6" s="1"/>
    </row>
    <row r="7" spans="1:5" x14ac:dyDescent="0.35">
      <c r="A7" s="39" t="s">
        <v>5</v>
      </c>
      <c r="B7" s="39"/>
      <c r="C7" s="39"/>
      <c r="D7" s="1"/>
      <c r="E7" s="1"/>
    </row>
    <row r="8" spans="1:5" x14ac:dyDescent="0.35">
      <c r="A8" s="40" t="s">
        <v>6</v>
      </c>
      <c r="B8" s="40"/>
      <c r="C8" s="40"/>
      <c r="D8" s="1"/>
      <c r="E8" s="1"/>
    </row>
    <row r="9" spans="1:5" ht="15.5" x14ac:dyDescent="0.35">
      <c r="A9" s="41" t="s">
        <v>7</v>
      </c>
      <c r="B9" s="41"/>
      <c r="C9" s="41"/>
      <c r="D9" s="1"/>
      <c r="E9" s="1"/>
    </row>
    <row r="10" spans="1:5" x14ac:dyDescent="0.35">
      <c r="A10" s="39" t="s">
        <v>8</v>
      </c>
      <c r="B10" s="39"/>
      <c r="C10" s="39"/>
      <c r="D10" s="1"/>
      <c r="E10" s="1"/>
    </row>
    <row r="11" spans="1:5" x14ac:dyDescent="0.35">
      <c r="A11" s="2" t="s">
        <v>9</v>
      </c>
      <c r="B11" s="42" t="s">
        <v>10</v>
      </c>
      <c r="C11" s="43"/>
      <c r="D11" s="43"/>
      <c r="E11" s="43"/>
    </row>
    <row r="12" spans="1:5" x14ac:dyDescent="0.35">
      <c r="A12" s="3" t="s">
        <v>11</v>
      </c>
      <c r="B12" s="44" t="s">
        <v>8</v>
      </c>
      <c r="C12" s="45"/>
      <c r="D12" s="45"/>
      <c r="E12" s="45"/>
    </row>
    <row r="13" spans="1:5" x14ac:dyDescent="0.35">
      <c r="A13" s="3" t="s">
        <v>9</v>
      </c>
      <c r="B13" s="4" t="s">
        <v>12</v>
      </c>
      <c r="C13" s="37" t="s">
        <v>13</v>
      </c>
      <c r="D13" s="38"/>
      <c r="E13" s="4" t="s">
        <v>14</v>
      </c>
    </row>
    <row r="14" spans="1:5" x14ac:dyDescent="0.35">
      <c r="A14" s="5" t="s">
        <v>9</v>
      </c>
      <c r="B14" s="6" t="s">
        <v>15</v>
      </c>
      <c r="C14" s="7" t="s">
        <v>16</v>
      </c>
      <c r="D14" s="7" t="s">
        <v>17</v>
      </c>
      <c r="E14" s="6" t="s">
        <v>15</v>
      </c>
    </row>
    <row r="15" spans="1:5" x14ac:dyDescent="0.35">
      <c r="A15" s="8" t="s">
        <v>18</v>
      </c>
      <c r="B15" s="9">
        <f>'[1]Trial Balance'!B15*'[1]Trial Balance'!$E$7</f>
        <v>1781127.7087999999</v>
      </c>
      <c r="C15" s="10">
        <f>'[1]Trial Balance'!C15*'[1]Trial Balance'!$E$7</f>
        <v>2943626.2591999997</v>
      </c>
      <c r="D15" s="10">
        <f>'[1]Trial Balance'!D15*'[1]Trial Balance'!$E$7</f>
        <v>1636112.0864000001</v>
      </c>
      <c r="E15" s="9">
        <f>'[1]Trial Balance'!E15*'[1]Trial Balance'!$E$7</f>
        <v>473613.53599999996</v>
      </c>
    </row>
    <row r="16" spans="1:5" x14ac:dyDescent="0.35">
      <c r="A16" s="11" t="s">
        <v>19</v>
      </c>
      <c r="B16" s="12">
        <f>'[1]Trial Balance'!B16*'[1]Trial Balance'!$E$7</f>
        <v>1050050.32</v>
      </c>
      <c r="C16" s="12">
        <f>'[1]Trial Balance'!C16*'[1]Trial Balance'!$E$7</f>
        <v>1648156.3296000001</v>
      </c>
      <c r="D16" s="12">
        <f>'[1]Trial Balance'!D16*'[1]Trial Balance'!$E$7</f>
        <v>635456.04320000007</v>
      </c>
      <c r="E16" s="12">
        <f>'[1]Trial Balance'!E16*'[1]Trial Balance'!$E$7</f>
        <v>37350.033600000002</v>
      </c>
    </row>
    <row r="17" spans="1:5" x14ac:dyDescent="0.35">
      <c r="A17" s="11" t="s">
        <v>20</v>
      </c>
      <c r="B17" s="12">
        <f>'[1]Trial Balance'!B17*'[1]Trial Balance'!$E$7</f>
        <v>731077.38879999996</v>
      </c>
      <c r="C17" s="12">
        <f>'[1]Trial Balance'!C17*'[1]Trial Balance'!$E$7</f>
        <v>1295469.9295999999</v>
      </c>
      <c r="D17" s="12">
        <f>'[1]Trial Balance'!D17*'[1]Trial Balance'!$E$7</f>
        <v>1000656.0432</v>
      </c>
      <c r="E17" s="12">
        <f>'[1]Trial Balance'!E17*'[1]Trial Balance'!$E$7</f>
        <v>436263.5024</v>
      </c>
    </row>
    <row r="18" spans="1:5" x14ac:dyDescent="0.35">
      <c r="A18" s="8" t="s">
        <v>21</v>
      </c>
      <c r="B18" s="13">
        <f>'[1]Trial Balance'!B18*'[1]Trial Balance'!$E$7</f>
        <v>616000</v>
      </c>
      <c r="C18" s="13">
        <f>'[1]Trial Balance'!C18*'[1]Trial Balance'!$E$7</f>
        <v>1196800</v>
      </c>
      <c r="D18" s="13">
        <f>'[1]Trial Balance'!D18*'[1]Trial Balance'!$E$7</f>
        <v>580800</v>
      </c>
      <c r="E18" s="14"/>
    </row>
    <row r="19" spans="1:5" x14ac:dyDescent="0.35">
      <c r="A19" s="15" t="s">
        <v>22</v>
      </c>
      <c r="B19" s="12">
        <f>'[1]Trial Balance'!B19*'[1]Trial Balance'!$E$7</f>
        <v>616000</v>
      </c>
      <c r="C19" s="12">
        <f>'[1]Trial Balance'!C19*'[1]Trial Balance'!$E$7</f>
        <v>1196800</v>
      </c>
      <c r="D19" s="12">
        <f>'[1]Trial Balance'!D19*'[1]Trial Balance'!$E$7</f>
        <v>580800</v>
      </c>
      <c r="E19" s="12">
        <f>'[1]Trial Balance'!E19*'[1]Trial Balance'!$E$7</f>
        <v>0</v>
      </c>
    </row>
    <row r="20" spans="1:5" x14ac:dyDescent="0.35">
      <c r="A20" s="8" t="s">
        <v>23</v>
      </c>
      <c r="B20" s="9">
        <f>'[1]Trial Balance'!B20*'[1]Trial Balance'!$E$7</f>
        <v>1211407.6304000001</v>
      </c>
      <c r="C20" s="10">
        <f>'[1]Trial Balance'!C20*'[1]Trial Balance'!$E$7</f>
        <v>1688501.0031999999</v>
      </c>
      <c r="D20" s="10">
        <f>'[1]Trial Balance'!D20*'[1]Trial Balance'!$E$7</f>
        <v>460858.44640000002</v>
      </c>
      <c r="E20" s="9">
        <f>'[1]Trial Balance'!E20*'[1]Trial Balance'!$E$7</f>
        <v>16234.926399999998</v>
      </c>
    </row>
    <row r="21" spans="1:5" x14ac:dyDescent="0.35">
      <c r="A21" s="15" t="s">
        <v>24</v>
      </c>
      <c r="B21" s="10">
        <f>'[1]Trial Balance'!B21*'[1]Trial Balance'!$E$7</f>
        <v>58794.559999999998</v>
      </c>
      <c r="C21" s="10">
        <f>'[1]Trial Balance'!C21*'[1]Trial Balance'!$E$7</f>
        <v>424164.01280000003</v>
      </c>
      <c r="D21" s="10">
        <f>'[1]Trial Balance'!D21*'[1]Trial Balance'!$E$7</f>
        <v>349134.52640000003</v>
      </c>
      <c r="E21" s="10">
        <f>'[1]Trial Balance'!E21*'[1]Trial Balance'!$E$7</f>
        <v>16234.926399999998</v>
      </c>
    </row>
    <row r="22" spans="1:5" x14ac:dyDescent="0.35">
      <c r="A22" s="16" t="s">
        <v>25</v>
      </c>
      <c r="B22" s="17"/>
      <c r="C22" s="12">
        <f>'[1]Trial Balance'!C22*'[1]Trial Balance'!$E$7</f>
        <v>7232.2360000000008</v>
      </c>
      <c r="D22" s="18"/>
      <c r="E22" s="12">
        <f>'[1]Trial Balance'!E22*'[1]Trial Balance'!$E$7</f>
        <v>7232.2360000000008</v>
      </c>
    </row>
    <row r="23" spans="1:5" x14ac:dyDescent="0.35">
      <c r="A23" s="16" t="s">
        <v>26</v>
      </c>
      <c r="B23" s="17"/>
      <c r="C23" s="12">
        <f>'[1]Trial Balance'!C23*'[1]Trial Balance'!$E$7</f>
        <v>1770.4544000000001</v>
      </c>
      <c r="D23" s="18"/>
      <c r="E23" s="12">
        <f>'[1]Trial Balance'!E23*'[1]Trial Balance'!$E$7</f>
        <v>1770.4544000000001</v>
      </c>
    </row>
    <row r="24" spans="1:5" x14ac:dyDescent="0.35">
      <c r="A24" s="16" t="s">
        <v>27</v>
      </c>
      <c r="B24" s="17"/>
      <c r="C24" s="12">
        <f>'[1]Trial Balance'!C24*'[1]Trial Balance'!$E$7</f>
        <v>7232.2360000000008</v>
      </c>
      <c r="D24" s="18"/>
      <c r="E24" s="12">
        <f>'[1]Trial Balance'!E24*'[1]Trial Balance'!$E$7</f>
        <v>7232.2360000000008</v>
      </c>
    </row>
    <row r="25" spans="1:5" x14ac:dyDescent="0.35">
      <c r="A25" s="16" t="s">
        <v>28</v>
      </c>
      <c r="B25" s="17"/>
      <c r="C25" s="12">
        <f>'[1]Trial Balance'!C25*'[1]Trial Balance'!$E$7</f>
        <v>329168.03039999999</v>
      </c>
      <c r="D25" s="12">
        <f>'[1]Trial Balance'!D25*'[1]Trial Balance'!$E$7</f>
        <v>329168.03039999999</v>
      </c>
      <c r="E25" s="17"/>
    </row>
    <row r="26" spans="1:5" x14ac:dyDescent="0.35">
      <c r="A26" s="16" t="s">
        <v>29</v>
      </c>
      <c r="B26" s="17"/>
      <c r="C26" s="12">
        <f>'[1]Trial Balance'!C26*'[1]Trial Balance'!$E$7</f>
        <v>15126.496000000001</v>
      </c>
      <c r="D26" s="12">
        <f>'[1]Trial Balance'!D26*'[1]Trial Balance'!$E$7</f>
        <v>15126.496000000001</v>
      </c>
      <c r="E26" s="17"/>
    </row>
    <row r="27" spans="1:5" x14ac:dyDescent="0.35">
      <c r="A27" s="19" t="s">
        <v>30</v>
      </c>
      <c r="B27" s="12">
        <f>'[1]Trial Balance'!B27*'[1]Trial Balance'!$E$7</f>
        <v>5730.56</v>
      </c>
      <c r="C27" s="12">
        <f>'[1]Trial Balance'!C27*'[1]Trial Balance'!$E$7</f>
        <v>5730.56</v>
      </c>
      <c r="D27" s="18"/>
      <c r="E27" s="17"/>
    </row>
    <row r="28" spans="1:5" x14ac:dyDescent="0.35">
      <c r="A28" s="19" t="s">
        <v>31</v>
      </c>
      <c r="B28" s="12">
        <f>'[1]Trial Balance'!B28*'[1]Trial Balance'!$E$7</f>
        <v>48224</v>
      </c>
      <c r="C28" s="12">
        <f>'[1]Trial Balance'!C28*'[1]Trial Balance'!$E$7</f>
        <v>48224</v>
      </c>
      <c r="D28" s="18"/>
      <c r="E28" s="17"/>
    </row>
    <row r="29" spans="1:5" x14ac:dyDescent="0.35">
      <c r="A29" s="16" t="s">
        <v>32</v>
      </c>
      <c r="B29" s="12">
        <f>'[1]Trial Balance'!B29*'[1]Trial Balance'!$E$7</f>
        <v>4840</v>
      </c>
      <c r="C29" s="12">
        <f>'[1]Trial Balance'!C29*'[1]Trial Balance'!$E$7</f>
        <v>9680</v>
      </c>
      <c r="D29" s="12">
        <f>'[1]Trial Balance'!D29*'[1]Trial Balance'!$E$7</f>
        <v>4840</v>
      </c>
      <c r="E29" s="17"/>
    </row>
    <row r="30" spans="1:5" x14ac:dyDescent="0.35">
      <c r="A30" s="15" t="s">
        <v>33</v>
      </c>
      <c r="B30" s="20"/>
      <c r="C30" s="13">
        <f>'[1]Trial Balance'!C30*'[1]Trial Balance'!$E$7</f>
        <v>9037.6</v>
      </c>
      <c r="D30" s="13">
        <f>'[1]Trial Balance'!D30*'[1]Trial Balance'!$E$7</f>
        <v>9037.6</v>
      </c>
      <c r="E30" s="20"/>
    </row>
    <row r="31" spans="1:5" x14ac:dyDescent="0.35">
      <c r="A31" s="19" t="s">
        <v>34</v>
      </c>
      <c r="B31" s="17"/>
      <c r="C31" s="12">
        <f>'[1]Trial Balance'!C31*'[1]Trial Balance'!$E$7</f>
        <v>9037.6</v>
      </c>
      <c r="D31" s="12">
        <f>'[1]Trial Balance'!D31*'[1]Trial Balance'!$E$7</f>
        <v>9037.6</v>
      </c>
      <c r="E31" s="17"/>
    </row>
    <row r="32" spans="1:5" x14ac:dyDescent="0.35">
      <c r="A32" s="15" t="s">
        <v>35</v>
      </c>
      <c r="B32" s="12">
        <f>'[1]Trial Balance'!B32*'[1]Trial Balance'!$E$7</f>
        <v>1152613.0704000001</v>
      </c>
      <c r="C32" s="12">
        <f>'[1]Trial Balance'!C32*'[1]Trial Balance'!$E$7</f>
        <v>1255299.3904000001</v>
      </c>
      <c r="D32" s="12">
        <f>'[1]Trial Balance'!D32*'[1]Trial Balance'!$E$7</f>
        <v>102686.32</v>
      </c>
      <c r="E32" s="17"/>
    </row>
    <row r="33" spans="1:5" x14ac:dyDescent="0.35">
      <c r="A33" s="21" t="s">
        <v>36</v>
      </c>
      <c r="B33" s="12">
        <f>'[1]Trial Balance'!B33*'[1]Trial Balance'!$E$7</f>
        <v>654513.19999999995</v>
      </c>
      <c r="C33" s="12">
        <f>'[1]Trial Balance'!C33*'[1]Trial Balance'!$E$7</f>
        <v>654513.19999999995</v>
      </c>
      <c r="D33" s="12">
        <f>'[1]Trial Balance'!D33*'[1]Trial Balance'!$E$7</f>
        <v>0</v>
      </c>
      <c r="E33" s="18"/>
    </row>
    <row r="34" spans="1:5" x14ac:dyDescent="0.35">
      <c r="A34" s="19" t="s">
        <v>96</v>
      </c>
      <c r="B34" s="12">
        <f>'[1]Trial Balance'!B34*'[1]Trial Balance'!$E$7</f>
        <v>8553.6</v>
      </c>
      <c r="C34" s="12">
        <f>'[1]Trial Balance'!C34*'[1]Trial Balance'!$E$7</f>
        <v>8553.6</v>
      </c>
      <c r="D34" s="12">
        <f>'[1]Trial Balance'!D34*'[1]Trial Balance'!$E$7</f>
        <v>0</v>
      </c>
      <c r="E34" s="17"/>
    </row>
    <row r="35" spans="1:5" x14ac:dyDescent="0.35">
      <c r="A35" s="16" t="s">
        <v>37</v>
      </c>
      <c r="B35" s="12">
        <f>'[1]Trial Balance'!B35*'[1]Trial Balance'!$E$7</f>
        <v>17600</v>
      </c>
      <c r="C35" s="12">
        <f>'[1]Trial Balance'!C35*'[1]Trial Balance'!$E$7</f>
        <v>17600</v>
      </c>
      <c r="D35" s="12">
        <f>'[1]Trial Balance'!D35*'[1]Trial Balance'!$E$7</f>
        <v>0</v>
      </c>
      <c r="E35" s="17"/>
    </row>
    <row r="36" spans="1:5" x14ac:dyDescent="0.35">
      <c r="A36" s="22" t="s">
        <v>38</v>
      </c>
      <c r="B36" s="12">
        <f>'[1]Trial Balance'!B36*'[1]Trial Balance'!$E$7</f>
        <v>88000</v>
      </c>
      <c r="C36" s="12">
        <f>'[1]Trial Balance'!C36*'[1]Trial Balance'!$E$7</f>
        <v>88000</v>
      </c>
      <c r="D36" s="12">
        <f>'[1]Trial Balance'!D36*'[1]Trial Balance'!$E$7</f>
        <v>0</v>
      </c>
      <c r="E36" s="17"/>
    </row>
    <row r="37" spans="1:5" x14ac:dyDescent="0.35">
      <c r="A37" s="19" t="s">
        <v>39</v>
      </c>
      <c r="B37" s="12">
        <f>'[1]Trial Balance'!B37*'[1]Trial Balance'!$E$7</f>
        <v>71086.399999999994</v>
      </c>
      <c r="C37" s="12">
        <f>'[1]Trial Balance'!C37*'[1]Trial Balance'!$E$7</f>
        <v>71086.399999999994</v>
      </c>
      <c r="D37" s="12">
        <f>'[1]Trial Balance'!D37*'[1]Trial Balance'!$E$7</f>
        <v>0</v>
      </c>
      <c r="E37" s="17"/>
    </row>
    <row r="38" spans="1:5" x14ac:dyDescent="0.35">
      <c r="A38" s="16" t="s">
        <v>40</v>
      </c>
      <c r="B38" s="12">
        <f>'[1]Trial Balance'!B38*'[1]Trial Balance'!$E$7</f>
        <v>11823.3104</v>
      </c>
      <c r="C38" s="12">
        <f>'[1]Trial Balance'!C38*'[1]Trial Balance'!$E$7</f>
        <v>23429.630400000002</v>
      </c>
      <c r="D38" s="12">
        <f>'[1]Trial Balance'!D38*'[1]Trial Balance'!$E$7</f>
        <v>11606.32</v>
      </c>
      <c r="E38" s="17"/>
    </row>
    <row r="39" spans="1:5" x14ac:dyDescent="0.35">
      <c r="A39" s="16" t="s">
        <v>41</v>
      </c>
      <c r="B39" s="12">
        <f>'[1]Trial Balance'!B39*'[1]Trial Balance'!$E$7</f>
        <v>0</v>
      </c>
      <c r="C39" s="12">
        <f>'[1]Trial Balance'!C39*'[1]Trial Balance'!$E$7</f>
        <v>20768</v>
      </c>
      <c r="D39" s="12">
        <f>'[1]Trial Balance'!D39*'[1]Trial Balance'!$E$7</f>
        <v>20768</v>
      </c>
      <c r="E39" s="17"/>
    </row>
    <row r="40" spans="1:5" x14ac:dyDescent="0.35">
      <c r="A40" s="16" t="s">
        <v>42</v>
      </c>
      <c r="B40" s="12">
        <f>'[1]Trial Balance'!B40*'[1]Trial Balance'!$E$7</f>
        <v>0</v>
      </c>
      <c r="C40" s="12">
        <f>'[1]Trial Balance'!C40*'[1]Trial Balance'!$E$7</f>
        <v>57112</v>
      </c>
      <c r="D40" s="12">
        <f>'[1]Trial Balance'!D40*'[1]Trial Balance'!$E$7</f>
        <v>57112</v>
      </c>
      <c r="E40" s="17"/>
    </row>
    <row r="41" spans="1:5" x14ac:dyDescent="0.35">
      <c r="A41" s="19" t="s">
        <v>43</v>
      </c>
      <c r="B41" s="12">
        <f>'[1]Trial Balance'!B41*'[1]Trial Balance'!$E$7</f>
        <v>15212.56</v>
      </c>
      <c r="C41" s="12">
        <f>'[1]Trial Balance'!C41*'[1]Trial Balance'!$E$7</f>
        <v>15212.56</v>
      </c>
      <c r="D41" s="12">
        <f>'[1]Trial Balance'!D41*'[1]Trial Balance'!$E$7</f>
        <v>0</v>
      </c>
      <c r="E41" s="17"/>
    </row>
    <row r="42" spans="1:5" x14ac:dyDescent="0.35">
      <c r="A42" s="16" t="s">
        <v>44</v>
      </c>
      <c r="B42" s="12">
        <f>'[1]Trial Balance'!B42*'[1]Trial Balance'!$E$7</f>
        <v>0</v>
      </c>
      <c r="C42" s="12">
        <f>'[1]Trial Balance'!C42*'[1]Trial Balance'!$E$7</f>
        <v>13200</v>
      </c>
      <c r="D42" s="12">
        <f>'[1]Trial Balance'!D42*'[1]Trial Balance'!$E$7</f>
        <v>13200</v>
      </c>
      <c r="E42" s="17"/>
    </row>
    <row r="43" spans="1:5" x14ac:dyDescent="0.35">
      <c r="A43" s="19" t="s">
        <v>45</v>
      </c>
      <c r="B43" s="12">
        <f>'[1]Trial Balance'!B43*'[1]Trial Balance'!$E$7</f>
        <v>285824</v>
      </c>
      <c r="C43" s="12">
        <f>'[1]Trial Balance'!C43*'[1]Trial Balance'!$E$7</f>
        <v>285824</v>
      </c>
      <c r="D43" s="12">
        <f>'[1]Trial Balance'!D43*'[1]Trial Balance'!$E$7</f>
        <v>0</v>
      </c>
      <c r="E43" s="17"/>
    </row>
    <row r="44" spans="1:5" x14ac:dyDescent="0.35">
      <c r="A44" s="8" t="s">
        <v>46</v>
      </c>
      <c r="B44" s="13">
        <f>'[1]Trial Balance'!B44*'[1]Trial Balance'!$E$7</f>
        <v>2141701.7600000002</v>
      </c>
      <c r="C44" s="13"/>
      <c r="D44" s="13">
        <f>'[1]Trial Balance'!D44*'[1]Trial Balance'!$E$7</f>
        <v>2141701.7600000002</v>
      </c>
      <c r="E44" s="14"/>
    </row>
    <row r="45" spans="1:5" x14ac:dyDescent="0.35">
      <c r="A45" s="15" t="s">
        <v>47</v>
      </c>
      <c r="B45" s="12">
        <f>'[1]Trial Balance'!B45*'[1]Trial Balance'!$E$7</f>
        <v>54023.199999999997</v>
      </c>
      <c r="C45" s="12"/>
      <c r="D45" s="12">
        <f>'[1]Trial Balance'!D45*'[1]Trial Balance'!$E$7</f>
        <v>54023.199999999997</v>
      </c>
      <c r="E45" s="17"/>
    </row>
    <row r="46" spans="1:5" x14ac:dyDescent="0.35">
      <c r="A46" s="23" t="s">
        <v>48</v>
      </c>
      <c r="B46" s="12">
        <f>'[1]Trial Balance'!B46*'[1]Trial Balance'!$E$7</f>
        <v>1562515.68</v>
      </c>
      <c r="C46" s="12"/>
      <c r="D46" s="12">
        <f>'[1]Trial Balance'!D46*'[1]Trial Balance'!$E$7</f>
        <v>1562515.68</v>
      </c>
      <c r="E46" s="17"/>
    </row>
    <row r="47" spans="1:5" x14ac:dyDescent="0.35">
      <c r="A47" s="15" t="s">
        <v>49</v>
      </c>
      <c r="B47" s="12">
        <f>'[1]Trial Balance'!B47*'[1]Trial Balance'!$E$7</f>
        <v>236064.4</v>
      </c>
      <c r="C47" s="12"/>
      <c r="D47" s="12">
        <f>'[1]Trial Balance'!D47*'[1]Trial Balance'!$E$7</f>
        <v>236064.4</v>
      </c>
      <c r="E47" s="17"/>
    </row>
    <row r="48" spans="1:5" x14ac:dyDescent="0.35">
      <c r="A48" s="11" t="s">
        <v>50</v>
      </c>
      <c r="B48" s="12">
        <f>'[1]Trial Balance'!B48*'[1]Trial Balance'!$E$7</f>
        <v>13657.6</v>
      </c>
      <c r="C48" s="12"/>
      <c r="D48" s="12">
        <f>'[1]Trial Balance'!D48*'[1]Trial Balance'!$E$7</f>
        <v>13657.6</v>
      </c>
      <c r="E48" s="18"/>
    </row>
    <row r="49" spans="1:5" x14ac:dyDescent="0.35">
      <c r="A49" s="24" t="s">
        <v>51</v>
      </c>
      <c r="B49" s="12">
        <f>'[1]Trial Balance'!B49*'[1]Trial Balance'!$E$7</f>
        <v>241472.88</v>
      </c>
      <c r="C49" s="12"/>
      <c r="D49" s="12">
        <f>'[1]Trial Balance'!D49*'[1]Trial Balance'!$E$7</f>
        <v>241472.88</v>
      </c>
      <c r="E49" s="18"/>
    </row>
    <row r="50" spans="1:5" x14ac:dyDescent="0.35">
      <c r="A50" s="25" t="s">
        <v>52</v>
      </c>
      <c r="B50" s="12">
        <f>'[1]Trial Balance'!B50*'[1]Trial Balance'!$E$7</f>
        <v>5570.4</v>
      </c>
      <c r="C50" s="12"/>
      <c r="D50" s="12">
        <f>'[1]Trial Balance'!D50*'[1]Trial Balance'!$E$7</f>
        <v>5570.4</v>
      </c>
      <c r="E50" s="18"/>
    </row>
    <row r="51" spans="1:5" x14ac:dyDescent="0.35">
      <c r="A51" s="11" t="s">
        <v>53</v>
      </c>
      <c r="B51" s="12">
        <f>'[1]Trial Balance'!B51*'[1]Trial Balance'!$E$7</f>
        <v>8017.68</v>
      </c>
      <c r="C51" s="12"/>
      <c r="D51" s="12">
        <f>'[1]Trial Balance'!D51*'[1]Trial Balance'!$E$7</f>
        <v>8017.68</v>
      </c>
      <c r="E51" s="18"/>
    </row>
    <row r="52" spans="1:5" x14ac:dyDescent="0.35">
      <c r="A52" s="11" t="s">
        <v>54</v>
      </c>
      <c r="B52" s="12">
        <f>'[1]Trial Balance'!B52*'[1]Trial Balance'!$E$7</f>
        <v>9476.7199999999993</v>
      </c>
      <c r="C52" s="12"/>
      <c r="D52" s="12">
        <f>'[1]Trial Balance'!D52*'[1]Trial Balance'!$E$7</f>
        <v>9476.7199999999993</v>
      </c>
      <c r="E52" s="18"/>
    </row>
    <row r="53" spans="1:5" x14ac:dyDescent="0.35">
      <c r="A53" s="11" t="s">
        <v>55</v>
      </c>
      <c r="B53" s="12">
        <f>'[1]Trial Balance'!B53*'[1]Trial Balance'!$E$7</f>
        <v>10903.2</v>
      </c>
      <c r="C53" s="12"/>
      <c r="D53" s="12">
        <f>'[1]Trial Balance'!D53*'[1]Trial Balance'!$E$7</f>
        <v>10903.2</v>
      </c>
      <c r="E53" s="18"/>
    </row>
    <row r="54" spans="1:5" x14ac:dyDescent="0.35">
      <c r="A54" s="8" t="s">
        <v>56</v>
      </c>
      <c r="B54" s="13">
        <f>'[1]Trial Balance'!B54*'[1]Trial Balance'!$E$7</f>
        <v>0</v>
      </c>
      <c r="C54" s="13"/>
      <c r="D54" s="13">
        <f>'[1]Trial Balance'!D54*'[1]Trial Balance'!$E$7</f>
        <v>22000</v>
      </c>
      <c r="E54" s="14"/>
    </row>
    <row r="55" spans="1:5" x14ac:dyDescent="0.35">
      <c r="A55" s="11" t="s">
        <v>57</v>
      </c>
      <c r="B55" s="18"/>
      <c r="C55" s="12">
        <f>'[1]Trial Balance'!C55*'[1]Trial Balance'!$E$7</f>
        <v>22000</v>
      </c>
      <c r="D55" s="12">
        <f>'[1]Trial Balance'!D55*'[1]Trial Balance'!$E$7</f>
        <v>22000</v>
      </c>
      <c r="E55" s="18"/>
    </row>
    <row r="56" spans="1:5" x14ac:dyDescent="0.35">
      <c r="A56" s="8" t="s">
        <v>58</v>
      </c>
      <c r="B56" s="26">
        <f>'[1]Trial Balance'!B56*'[1]Trial Balance'!$E$7</f>
        <v>1466833.5792</v>
      </c>
      <c r="C56" s="13">
        <f>'[1]Trial Balance'!C56*'[1]Trial Balance'!$E$7</f>
        <v>8893413.9183999989</v>
      </c>
      <c r="D56" s="13">
        <f>'[1]Trial Balance'!D56*'[1]Trial Balance'!$E$7</f>
        <v>9902868.8880000003</v>
      </c>
      <c r="E56" s="26">
        <f>'[1]Trial Balance'!E56*'[1]Trial Balance'!$E$7</f>
        <v>457378.60959999997</v>
      </c>
    </row>
    <row r="57" spans="1:5" x14ac:dyDescent="0.35">
      <c r="A57" s="15" t="s">
        <v>59</v>
      </c>
      <c r="B57" s="27">
        <f>'[1]Trial Balance'!B57*'[1]Trial Balance'!$E$7</f>
        <v>1422581.6</v>
      </c>
      <c r="C57" s="27">
        <f>'[1]Trial Balance'!C57*'[1]Trial Balance'!$E$7</f>
        <v>155614.7824</v>
      </c>
      <c r="D57" s="27">
        <f>'[1]Trial Balance'!D57*'[1]Trial Balance'!$E$7</f>
        <v>1185737.1680000001</v>
      </c>
      <c r="E57" s="13">
        <f>'[1]Trial Balance'!E57*'[1]Trial Balance'!$E$7</f>
        <v>392459.2144</v>
      </c>
    </row>
    <row r="58" spans="1:5" x14ac:dyDescent="0.35">
      <c r="A58" s="16" t="s">
        <v>60</v>
      </c>
      <c r="B58" s="12">
        <f>'[1]Trial Balance'!B58*'[1]Trial Balance'!$E$7</f>
        <v>352000</v>
      </c>
      <c r="C58" s="12">
        <f>'[1]Trial Balance'!C58*'[1]Trial Balance'!$E$7</f>
        <v>83600</v>
      </c>
      <c r="D58" s="12">
        <f>'[1]Trial Balance'!D58*'[1]Trial Balance'!$E$7</f>
        <v>435600</v>
      </c>
      <c r="E58" s="17"/>
    </row>
    <row r="59" spans="1:5" x14ac:dyDescent="0.35">
      <c r="A59" s="19" t="s">
        <v>61</v>
      </c>
      <c r="B59" s="12">
        <f>'[1]Trial Balance'!B59*'[1]Trial Balance'!$E$7</f>
        <v>84758.080000000002</v>
      </c>
      <c r="C59" s="12"/>
      <c r="D59" s="12">
        <f>'[1]Trial Balance'!D59*'[1]Trial Balance'!$E$7</f>
        <v>28313.929599999999</v>
      </c>
      <c r="E59" s="12">
        <f>'[1]Trial Balance'!E59*'[1]Trial Balance'!$E$7</f>
        <v>56444.150399999999</v>
      </c>
    </row>
    <row r="60" spans="1:5" x14ac:dyDescent="0.35">
      <c r="A60" s="22" t="s">
        <v>62</v>
      </c>
      <c r="B60" s="12">
        <f>'[1]Trial Balance'!B60*'[1]Trial Balance'!$E$7</f>
        <v>0</v>
      </c>
      <c r="C60" s="12">
        <f>'[1]Trial Balance'!C60*'[1]Trial Balance'!$E$7</f>
        <v>1702.7824000000001</v>
      </c>
      <c r="D60" s="12">
        <f>'[1]Trial Balance'!D60*'[1]Trial Balance'!$E$7</f>
        <v>1702.7824000000001</v>
      </c>
      <c r="E60" s="12"/>
    </row>
    <row r="61" spans="1:5" x14ac:dyDescent="0.35">
      <c r="A61" s="19" t="s">
        <v>63</v>
      </c>
      <c r="B61" s="12">
        <f>'[1]Trial Balance'!B61*'[1]Trial Balance'!$E$7</f>
        <v>470669.76</v>
      </c>
      <c r="C61" s="12"/>
      <c r="D61" s="12">
        <f>'[1]Trial Balance'!D61*'[1]Trial Balance'!$E$7</f>
        <v>344294.52640000003</v>
      </c>
      <c r="E61" s="12">
        <f>'[1]Trial Balance'!E61*'[1]Trial Balance'!$E$7</f>
        <v>126375.23360000001</v>
      </c>
    </row>
    <row r="62" spans="1:5" x14ac:dyDescent="0.35">
      <c r="A62" s="22" t="s">
        <v>64</v>
      </c>
      <c r="B62" s="12">
        <f>'[1]Trial Balance'!B62*'[1]Trial Balance'!$E$7</f>
        <v>0</v>
      </c>
      <c r="C62" s="12">
        <f>'[1]Trial Balance'!C62*'[1]Trial Balance'!$E$7</f>
        <v>70312</v>
      </c>
      <c r="D62" s="12">
        <f>'[1]Trial Balance'!D62*'[1]Trial Balance'!$E$7</f>
        <v>70312</v>
      </c>
      <c r="E62" s="12"/>
    </row>
    <row r="63" spans="1:5" x14ac:dyDescent="0.35">
      <c r="A63" s="16" t="s">
        <v>65</v>
      </c>
      <c r="B63" s="12">
        <f>'[1]Trial Balance'!B63*'[1]Trial Balance'!$E$7</f>
        <v>96800</v>
      </c>
      <c r="C63" s="12"/>
      <c r="D63" s="12">
        <f>'[1]Trial Balance'!D63*'[1]Trial Balance'!$E$7</f>
        <v>96800</v>
      </c>
      <c r="E63" s="12"/>
    </row>
    <row r="64" spans="1:5" x14ac:dyDescent="0.35">
      <c r="A64" s="19" t="s">
        <v>66</v>
      </c>
      <c r="B64" s="12">
        <f>'[1]Trial Balance'!B64*'[1]Trial Balance'!$E$7</f>
        <v>237953.76</v>
      </c>
      <c r="C64" s="12"/>
      <c r="D64" s="12">
        <f>'[1]Trial Balance'!D64*'[1]Trial Balance'!$E$7</f>
        <v>28313.929599999999</v>
      </c>
      <c r="E64" s="12">
        <f>'[1]Trial Balance'!E64*'[1]Trial Balance'!$E$7</f>
        <v>209639.83039999998</v>
      </c>
    </row>
    <row r="65" spans="1:5" x14ac:dyDescent="0.35">
      <c r="A65" s="19" t="s">
        <v>67</v>
      </c>
      <c r="B65" s="12">
        <f>'[1]Trial Balance'!B65*'[1]Trial Balance'!$E$7</f>
        <v>180400</v>
      </c>
      <c r="C65" s="12"/>
      <c r="D65" s="12">
        <f>'[1]Trial Balance'!D65*'[1]Trial Balance'!$E$7</f>
        <v>180400</v>
      </c>
      <c r="E65" s="12"/>
    </row>
    <row r="66" spans="1:5" x14ac:dyDescent="0.35">
      <c r="A66" s="15" t="s">
        <v>68</v>
      </c>
      <c r="B66" s="12">
        <f>'[1]Trial Balance'!B66*'[1]Trial Balance'!$E$7</f>
        <v>0</v>
      </c>
      <c r="C66" s="12">
        <f>'[1]Trial Balance'!C66*'[1]Trial Balance'!$E$7</f>
        <v>3851027.1360000004</v>
      </c>
      <c r="D66" s="12">
        <f>'[1]Trial Balance'!D66*'[1]Trial Balance'!$E$7</f>
        <v>3851027.1360000004</v>
      </c>
      <c r="E66" s="12"/>
    </row>
    <row r="67" spans="1:5" x14ac:dyDescent="0.35">
      <c r="A67" s="19" t="s">
        <v>69</v>
      </c>
      <c r="B67" s="17"/>
      <c r="C67" s="28">
        <v>1472772.2</v>
      </c>
      <c r="D67" s="28">
        <v>1472772.2</v>
      </c>
      <c r="E67" s="17"/>
    </row>
    <row r="68" spans="1:5" x14ac:dyDescent="0.35">
      <c r="A68" s="19" t="s">
        <v>70</v>
      </c>
      <c r="B68" s="17"/>
      <c r="C68" s="28">
        <v>2903395</v>
      </c>
      <c r="D68" s="28">
        <v>2903395</v>
      </c>
      <c r="E68" s="17"/>
    </row>
    <row r="69" spans="1:5" x14ac:dyDescent="0.35">
      <c r="A69" s="15" t="s">
        <v>71</v>
      </c>
      <c r="B69" s="27">
        <f>'[1]Trial Balance'!B69*'[1]Trial Balance'!$E$7</f>
        <v>34557.907999999996</v>
      </c>
      <c r="C69" s="20"/>
      <c r="D69" s="20"/>
      <c r="E69" s="27">
        <f>'[1]Trial Balance'!E69*'[1]Trial Balance'!$E$7</f>
        <v>34557.907999999996</v>
      </c>
    </row>
    <row r="70" spans="1:5" x14ac:dyDescent="0.35">
      <c r="A70" s="11" t="s">
        <v>72</v>
      </c>
      <c r="B70" s="27">
        <f>'[1]Trial Balance'!B70*'[1]Trial Balance'!$E$7</f>
        <v>34557.907999999996</v>
      </c>
      <c r="C70" s="27"/>
      <c r="D70" s="27"/>
      <c r="E70" s="27">
        <f>'[1]Trial Balance'!E70*'[1]Trial Balance'!$E$7</f>
        <v>34557.907999999996</v>
      </c>
    </row>
    <row r="71" spans="1:5" x14ac:dyDescent="0.35">
      <c r="A71" s="15" t="s">
        <v>73</v>
      </c>
      <c r="B71" s="27">
        <f>'[1]Trial Balance'!B71*'[1]Trial Balance'!$E$7</f>
        <v>9694.0712000000003</v>
      </c>
      <c r="C71" s="27">
        <f>'[1]Trial Balance'!C71*'[1]Trial Balance'!$E$7</f>
        <v>4886772</v>
      </c>
      <c r="D71" s="27">
        <f>'[1]Trial Balance'!D71*'[1]Trial Balance'!$E$7</f>
        <v>4866104.5839999998</v>
      </c>
      <c r="E71" s="27">
        <f>'[1]Trial Balance'!E71*'[1]Trial Balance'!$E$7</f>
        <v>30361.487200000003</v>
      </c>
    </row>
    <row r="72" spans="1:5" x14ac:dyDescent="0.35">
      <c r="A72" s="19" t="s">
        <v>97</v>
      </c>
      <c r="B72" s="27">
        <f>'[1]Trial Balance'!B72*'[1]Trial Balance'!$E$7</f>
        <v>9694.0712000000003</v>
      </c>
      <c r="C72" s="27">
        <f>'[1]Trial Balance'!C72*'[1]Trial Balance'!$E$7</f>
        <v>4886772</v>
      </c>
      <c r="D72" s="27">
        <f>'[1]Trial Balance'!D72*'[1]Trial Balance'!$E$7</f>
        <v>4866104.5839999998</v>
      </c>
      <c r="E72" s="27">
        <f>'[1]Trial Balance'!E72*'[1]Trial Balance'!$E$7</f>
        <v>30361.487200000003</v>
      </c>
    </row>
    <row r="73" spans="1:5" x14ac:dyDescent="0.35">
      <c r="A73" s="8" t="s">
        <v>74</v>
      </c>
      <c r="B73" s="14"/>
      <c r="C73" s="29"/>
      <c r="D73" s="27">
        <f>'[1]Trial Balance'!D73*'[1]Trial Balance'!$E$7</f>
        <v>1296039.5360000001</v>
      </c>
      <c r="E73" s="27">
        <f>'[1]Trial Balance'!E73*'[1]Trial Balance'!$E$7</f>
        <v>1296039.5360000001</v>
      </c>
    </row>
    <row r="74" spans="1:5" x14ac:dyDescent="0.35">
      <c r="A74" s="11" t="s">
        <v>75</v>
      </c>
      <c r="B74" s="18"/>
      <c r="C74" s="17"/>
      <c r="D74" s="12">
        <f>'[1]Trial Balance'!D74*'[1]Trial Balance'!$E$7</f>
        <v>1296039.5360000001</v>
      </c>
      <c r="E74" s="27">
        <f>'[1]Trial Balance'!E74*'[1]Trial Balance'!$E$7</f>
        <v>1296039.5360000001</v>
      </c>
    </row>
    <row r="75" spans="1:5" x14ac:dyDescent="0.35">
      <c r="A75" s="8" t="s">
        <v>76</v>
      </c>
      <c r="B75" s="14"/>
      <c r="C75" s="13">
        <f>'[1]Trial Balance'!C75*'[1]Trial Balance'!$E$7</f>
        <v>25768.265599999999</v>
      </c>
      <c r="D75" s="13">
        <f>'[1]Trial Balance'!D75*'[1]Trial Balance'!$E$7</f>
        <v>1003.2</v>
      </c>
      <c r="E75" s="27">
        <f>'[1]Trial Balance'!E75*'[1]Trial Balance'!$E$7</f>
        <v>24765.065599999998</v>
      </c>
    </row>
    <row r="76" spans="1:5" x14ac:dyDescent="0.35">
      <c r="A76" s="15" t="s">
        <v>77</v>
      </c>
      <c r="B76" s="30"/>
      <c r="C76" s="13">
        <f>'[1]Trial Balance'!C76*'[1]Trial Balance'!$E$7</f>
        <v>11155.865600000001</v>
      </c>
      <c r="D76" s="20"/>
      <c r="E76" s="31">
        <v>12677.12</v>
      </c>
    </row>
    <row r="77" spans="1:5" x14ac:dyDescent="0.35">
      <c r="A77" s="19" t="s">
        <v>78</v>
      </c>
      <c r="B77" s="17"/>
      <c r="C77" s="12">
        <f>'[1]Trial Balance'!C77*'[1]Trial Balance'!$E$7</f>
        <v>264</v>
      </c>
      <c r="D77" s="18"/>
      <c r="E77" s="12">
        <f>'[1]Trial Balance'!E77*'[1]Trial Balance'!$E$7</f>
        <v>264</v>
      </c>
    </row>
    <row r="78" spans="1:5" x14ac:dyDescent="0.35">
      <c r="A78" s="19" t="s">
        <v>79</v>
      </c>
      <c r="B78" s="17"/>
      <c r="C78" s="12">
        <f>'[1]Trial Balance'!C78*'[1]Trial Balance'!$E$7</f>
        <v>1056</v>
      </c>
      <c r="D78" s="18"/>
      <c r="E78" s="12">
        <f>'[1]Trial Balance'!E78*'[1]Trial Balance'!$E$7</f>
        <v>1056</v>
      </c>
    </row>
    <row r="79" spans="1:5" x14ac:dyDescent="0.35">
      <c r="A79" s="16" t="s">
        <v>80</v>
      </c>
      <c r="B79" s="17"/>
      <c r="C79" s="12">
        <f>'[1]Trial Balance'!C79*'[1]Trial Balance'!$E$7</f>
        <v>9835.865600000001</v>
      </c>
      <c r="D79" s="18"/>
      <c r="E79" s="12">
        <f>'[1]Trial Balance'!E79*'[1]Trial Balance'!$E$7</f>
        <v>9835.865600000001</v>
      </c>
    </row>
    <row r="80" spans="1:5" x14ac:dyDescent="0.35">
      <c r="A80" s="11" t="s">
        <v>81</v>
      </c>
      <c r="B80" s="18"/>
      <c r="C80" s="12">
        <f>'[1]Trial Balance'!C80*'[1]Trial Balance'!$E$7</f>
        <v>6564.8</v>
      </c>
      <c r="D80" s="12">
        <f>'[1]Trial Balance'!D80*'[1]Trial Balance'!$E$7</f>
        <v>1003.2</v>
      </c>
      <c r="E80" s="12">
        <f>'[1]Trial Balance'!E80*'[1]Trial Balance'!$E$7</f>
        <v>5561.6</v>
      </c>
    </row>
    <row r="81" spans="1:5" x14ac:dyDescent="0.35">
      <c r="A81" s="25" t="s">
        <v>82</v>
      </c>
      <c r="B81" s="18"/>
      <c r="C81" s="12">
        <f>'[1]Trial Balance'!C81*'[1]Trial Balance'!$E$7</f>
        <v>8047.6</v>
      </c>
      <c r="D81" s="17"/>
      <c r="E81" s="12">
        <f>'[1]Trial Balance'!E81*'[1]Trial Balance'!$E$7</f>
        <v>8047.6</v>
      </c>
    </row>
    <row r="82" spans="1:5" x14ac:dyDescent="0.35">
      <c r="A82" s="8" t="s">
        <v>83</v>
      </c>
      <c r="B82" s="14"/>
      <c r="C82" s="32"/>
      <c r="D82" s="13">
        <f>'[1]Trial Balance'!D82*'[1]Trial Balance'!$E$7</f>
        <v>179.52</v>
      </c>
      <c r="E82" s="13">
        <f>'[1]Trial Balance'!E82*'[1]Trial Balance'!$E$7</f>
        <v>179.52</v>
      </c>
    </row>
    <row r="83" spans="1:5" x14ac:dyDescent="0.35">
      <c r="A83" s="25" t="s">
        <v>84</v>
      </c>
      <c r="B83" s="18"/>
      <c r="C83" s="17"/>
      <c r="D83" s="13">
        <f>'[1]Trial Balance'!D83*'[1]Trial Balance'!$E$7</f>
        <v>179.52</v>
      </c>
      <c r="E83" s="13">
        <f>'[1]Trial Balance'!E83*'[1]Trial Balance'!$E$7</f>
        <v>179.52</v>
      </c>
    </row>
    <row r="84" spans="1:5" x14ac:dyDescent="0.35">
      <c r="A84" s="8" t="s">
        <v>85</v>
      </c>
      <c r="B84" s="14"/>
      <c r="C84" s="13">
        <f>'[1]Trial Balance'!C84*'[1]Trial Balance'!$E$7</f>
        <v>934900.076</v>
      </c>
      <c r="D84" s="13">
        <f>'[1]Trial Balance'!D84*'[1]Trial Balance'!$E$7</f>
        <v>19158.172000000002</v>
      </c>
      <c r="E84" s="27">
        <f>'[1]Trial Balance'!E84*'[1]Trial Balance'!$E$7</f>
        <v>915741.9040000001</v>
      </c>
    </row>
    <row r="85" spans="1:5" x14ac:dyDescent="0.35">
      <c r="A85" s="15" t="s">
        <v>86</v>
      </c>
      <c r="B85" s="17"/>
      <c r="C85" s="12">
        <f>'[1]Trial Balance'!C85*'[1]Trial Balance'!$E$7</f>
        <v>6338.9832000000006</v>
      </c>
      <c r="D85" s="18"/>
      <c r="E85" s="12">
        <f>'[1]Trial Balance'!E85*'[1]Trial Balance'!$E$7</f>
        <v>6338.9832000000006</v>
      </c>
    </row>
    <row r="86" spans="1:5" x14ac:dyDescent="0.35">
      <c r="A86" s="11" t="s">
        <v>87</v>
      </c>
      <c r="B86" s="18"/>
      <c r="C86" s="12">
        <f>'[1]Trial Balance'!C86*'[1]Trial Balance'!$E$7</f>
        <v>13200</v>
      </c>
      <c r="D86" s="18"/>
      <c r="E86" s="12">
        <f>'[1]Trial Balance'!E86*'[1]Trial Balance'!$E$7</f>
        <v>13200</v>
      </c>
    </row>
    <row r="87" spans="1:5" x14ac:dyDescent="0.35">
      <c r="A87" s="25" t="s">
        <v>88</v>
      </c>
      <c r="B87" s="18"/>
      <c r="C87" s="12">
        <f>'[1]Trial Balance'!C87*'[1]Trial Balance'!$E$7</f>
        <v>17600</v>
      </c>
      <c r="D87" s="12">
        <f>'[1]Trial Balance'!D87*'[1]Trial Balance'!$E$7</f>
        <v>17600</v>
      </c>
      <c r="E87" s="18"/>
    </row>
    <row r="88" spans="1:5" x14ac:dyDescent="0.35">
      <c r="A88" s="11" t="s">
        <v>89</v>
      </c>
      <c r="B88" s="18"/>
      <c r="C88" s="12">
        <f>'[1]Trial Balance'!C88*'[1]Trial Balance'!$E$7</f>
        <v>3117.6992</v>
      </c>
      <c r="D88" s="18"/>
      <c r="E88" s="12">
        <f>'[1]Trial Balance'!E88*'[1]Trial Balance'!$E$7</f>
        <v>1560.0991999999999</v>
      </c>
    </row>
    <row r="89" spans="1:5" x14ac:dyDescent="0.35">
      <c r="A89" s="11" t="s">
        <v>90</v>
      </c>
      <c r="B89" s="18"/>
      <c r="C89" s="12">
        <f>'[1]Trial Balance'!C89*'[1]Trial Balance'!$E$7</f>
        <v>1443.0239999999999</v>
      </c>
      <c r="D89" s="18"/>
      <c r="E89" s="12">
        <f>'[1]Trial Balance'!E89*'[1]Trial Balance'!$E$7</f>
        <v>1443.0239999999999</v>
      </c>
    </row>
    <row r="90" spans="1:5" x14ac:dyDescent="0.35">
      <c r="A90" s="11" t="s">
        <v>91</v>
      </c>
      <c r="B90" s="18"/>
      <c r="C90" s="12">
        <f>'[1]Trial Balance'!C90*'[1]Trial Balance'!$E$7</f>
        <v>844800</v>
      </c>
      <c r="D90" s="18"/>
      <c r="E90" s="12">
        <f>'[1]Trial Balance'!E90*'[1]Trial Balance'!$E$7</f>
        <v>844800</v>
      </c>
    </row>
    <row r="91" spans="1:5" x14ac:dyDescent="0.35">
      <c r="A91" s="25" t="s">
        <v>92</v>
      </c>
      <c r="B91" s="18"/>
      <c r="C91" s="12">
        <f>'[1]Trial Balance'!C91*'[1]Trial Balance'!$E$7</f>
        <v>48400</v>
      </c>
      <c r="D91" s="18"/>
      <c r="E91" s="12">
        <f>'[1]Trial Balance'!E91*'[1]Trial Balance'!$E$7</f>
        <v>48400</v>
      </c>
    </row>
    <row r="92" spans="1:5" x14ac:dyDescent="0.35">
      <c r="A92" s="11" t="s">
        <v>93</v>
      </c>
      <c r="B92" s="18"/>
      <c r="C92" s="12">
        <f>'[1]Trial Balance'!C92*'[1]Trial Balance'!$E$7</f>
        <v>0.36959999999999998</v>
      </c>
      <c r="D92" s="12">
        <f>'[1]Trial Balance'!D92*'[1]Trial Balance'!$E$7</f>
        <v>0.57200000000000006</v>
      </c>
      <c r="E92" s="12">
        <f>'[1]Trial Balance'!E92*'[1]Trial Balance'!$E$7</f>
        <v>0.2024</v>
      </c>
    </row>
    <row r="93" spans="1:5" x14ac:dyDescent="0.35">
      <c r="A93" s="33" t="s">
        <v>94</v>
      </c>
      <c r="B93" s="17"/>
      <c r="C93" s="12">
        <f>'[1]Trial Balance'!C93*'[1]Trial Balance'!$E$7</f>
        <v>355712.08640000003</v>
      </c>
      <c r="D93" s="18"/>
      <c r="E93" s="12">
        <f>'[1]Trial Balance'!E93*'[1]Trial Balance'!$E$7</f>
        <v>355712.08640000003</v>
      </c>
    </row>
    <row r="94" spans="1:5" x14ac:dyDescent="0.35">
      <c r="A94" s="34" t="s">
        <v>95</v>
      </c>
      <c r="B94" s="35"/>
      <c r="C94" s="36">
        <f>'[1]Trial Balance'!C94*'[1]Trial Balance'!$E$7</f>
        <v>16060721.608800001</v>
      </c>
      <c r="D94" s="36">
        <f>'[1]Trial Balance'!D94*'[1]Trial Balance'!$E$7</f>
        <v>16060721.608800001</v>
      </c>
      <c r="E94" s="35"/>
    </row>
  </sheetData>
  <mergeCells count="13">
    <mergeCell ref="A6:C6"/>
    <mergeCell ref="A1:C1"/>
    <mergeCell ref="A2:C2"/>
    <mergeCell ref="A3:C3"/>
    <mergeCell ref="A4:C4"/>
    <mergeCell ref="A5:C5"/>
    <mergeCell ref="C13:D13"/>
    <mergeCell ref="A7:C7"/>
    <mergeCell ref="A8:C8"/>
    <mergeCell ref="A9:C9"/>
    <mergeCell ref="A10:C10"/>
    <mergeCell ref="B11:E11"/>
    <mergeCell ref="B12:E12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asap40</dc:creator>
  <cp:lastModifiedBy>asap40</cp:lastModifiedBy>
  <dcterms:created xsi:type="dcterms:W3CDTF">2026-08-25T07:42:13Z</dcterms:created>
  <dcterms:modified xsi:type="dcterms:W3CDTF">2026-08-25T07:45:29Z</dcterms:modified>
</cp:coreProperties>
</file>